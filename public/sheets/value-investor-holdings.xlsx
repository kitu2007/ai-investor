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35b2398e947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7e29ee86ac9a4f5c"/>
    <x:sheet xmlns:r="http://schemas.openxmlformats.org/officeDocument/2006/relationships" name="Aggregate Moves" sheetId="2" r:id="R3808e90b01f54480"/>
    <x:sheet xmlns:r="http://schemas.openxmlformats.org/officeDocument/2006/relationships" name="Warren Buffett" sheetId="3" r:id="R44f45dbd94324b83"/>
    <x:sheet xmlns:r="http://schemas.openxmlformats.org/officeDocument/2006/relationships" name="David Tepper" sheetId="4" r:id="R0925178a6b7646d8"/>
    <x:sheet xmlns:r="http://schemas.openxmlformats.org/officeDocument/2006/relationships" name="Bill Ackman" sheetId="5" r:id="R418fcb9ddb1d4278"/>
    <x:sheet xmlns:r="http://schemas.openxmlformats.org/officeDocument/2006/relationships" name="Seth Klarman" sheetId="6" r:id="R012ffb6e3632494d"/>
    <x:sheet xmlns:r="http://schemas.openxmlformats.org/officeDocument/2006/relationships" name="Terry Smith" sheetId="7" r:id="R58287781aff74a4b"/>
    <x:sheet xmlns:r="http://schemas.openxmlformats.org/officeDocument/2006/relationships" name="Mohnish Pabrai" sheetId="8" r:id="Racabe558a4864709"/>
    <x:sheet xmlns:r="http://schemas.openxmlformats.org/officeDocument/2006/relationships" name="Li Lu" sheetId="9" r:id="Raf6651ad3a4d484d"/>
    <x:sheet xmlns:r="http://schemas.openxmlformats.org/officeDocument/2006/relationships" name="Chris Hohn" sheetId="10" r:id="Rb13d216dab1f4107"/>
    <x:sheet xmlns:r="http://schemas.openxmlformats.org/officeDocument/2006/relationships" name="ValueAct Capital" sheetId="11" r:id="R4cd613f06f1b49cd"/>
    <x:sheet xmlns:r="http://schemas.openxmlformats.org/officeDocument/2006/relationships" name="David Einhorn" sheetId="12" r:id="R729679563df647ed"/>
    <x:sheet xmlns:r="http://schemas.openxmlformats.org/officeDocument/2006/relationships" name="Joel Greenblatt" sheetId="13" r:id="R0f3ab03a4a1c4b05"/>
    <x:sheet xmlns:r="http://schemas.openxmlformats.org/officeDocument/2006/relationships" name="Mario Gabelli" sheetId="14" r:id="R3f861025a0bf4e89"/>
    <x:sheet xmlns:r="http://schemas.openxmlformats.org/officeDocument/2006/relationships" name="Ray Dalio  Bridgewater" sheetId="15" r:id="Rd050c26af1964a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%"/>
    <x:numFmt numFmtId="201" formatCode="#,##0"/>
    <x:numFmt numFmtId="202" formatCode="0.0%"/>
    <x:numFmt numFmtId="203" formatCode="$#,##0.00;[Red]($#,##0.00);-"/>
    <x:numFmt numFmtId="204" formatCode="0.0x;[Red](0.0x);-"/>
    <x:numFmt numFmtId="205" formatCode="$#,##0;[Red]($#,##0);-"/>
    <x:numFmt numFmtId="206" formatCode="0.0%;[Red](0.0%);-"/>
  </x:numFmts>
  <x:fonts count="10">
    <x:font>
      <x:sz val="11"/>
      <x:name val="Carlito"/>
    </x:font>
    <x:font>
      <x:sz val="18"/>
      <x:name val="Carlito"/>
    </x:font>
    <x:font>
      <x:b/>
      <x:sz val="18"/>
      <x:name val="Carlito"/>
    </x:font>
    <x:font>
      <x:b/>
      <x:sz val="18"/>
      <x:color rgb="FF1F4E78"/>
      <x:name val="Carlito"/>
    </x:font>
    <x:font>
      <x:b/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  <x:font>
      <x:sz val="10"/>
      <x:color rgb="FF0000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7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4" borderId="0" xfId="0" applyNumberFormat="1" applyFont="1" applyFill="1" applyBorder="1"/>
    <x:xf numFmtId="203" fontId="9" fillId="4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205" fontId="6" fillId="0" borderId="0" xfId="0" applyNumberFormat="1" applyFont="1" applyFill="1" applyBorder="1"/>
    <x:xf numFmtId="206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9d363718a1412f" /><Relationship Type="http://schemas.openxmlformats.org/officeDocument/2006/relationships/theme" Target="/xl/theme/theme1.xml" Id="R76d54d2a6a484ab6" /><Relationship Type="http://schemas.openxmlformats.org/officeDocument/2006/relationships/sharedStrings" Target="/xl/sharedStrings.xml" Id="R3ef6c8dd3e9947fa" /><Relationship Type="http://schemas.openxmlformats.org/officeDocument/2006/relationships/worksheet" Target="/xl/worksheets/sheet1.xml" Id="R7e29ee86ac9a4f5c" /><Relationship Type="http://schemas.openxmlformats.org/officeDocument/2006/relationships/worksheet" Target="/xl/worksheets/sheet2.xml" Id="R3808e90b01f54480" /><Relationship Type="http://schemas.openxmlformats.org/officeDocument/2006/relationships/worksheet" Target="/xl/worksheets/sheet3.xml" Id="R44f45dbd94324b83" /><Relationship Type="http://schemas.openxmlformats.org/officeDocument/2006/relationships/worksheet" Target="/xl/worksheets/sheet4.xml" Id="R0925178a6b7646d8" /><Relationship Type="http://schemas.openxmlformats.org/officeDocument/2006/relationships/worksheet" Target="/xl/worksheets/sheet5.xml" Id="R418fcb9ddb1d4278" /><Relationship Type="http://schemas.openxmlformats.org/officeDocument/2006/relationships/worksheet" Target="/xl/worksheets/sheet6.xml" Id="R012ffb6e3632494d" /><Relationship Type="http://schemas.openxmlformats.org/officeDocument/2006/relationships/worksheet" Target="/xl/worksheets/sheet7.xml" Id="R58287781aff74a4b" /><Relationship Type="http://schemas.openxmlformats.org/officeDocument/2006/relationships/worksheet" Target="/xl/worksheets/sheet8.xml" Id="Racabe558a4864709" /><Relationship Type="http://schemas.openxmlformats.org/officeDocument/2006/relationships/worksheet" Target="/xl/worksheets/sheet9.xml" Id="Raf6651ad3a4d484d" /><Relationship Type="http://schemas.openxmlformats.org/officeDocument/2006/relationships/worksheet" Target="/xl/worksheets/sheet10.xml" Id="Rb13d216dab1f4107" /><Relationship Type="http://schemas.openxmlformats.org/officeDocument/2006/relationships/worksheet" Target="/xl/worksheets/sheet11.xml" Id="R4cd613f06f1b49cd" /><Relationship Type="http://schemas.openxmlformats.org/officeDocument/2006/relationships/worksheet" Target="/xl/worksheets/sheet12.xml" Id="R729679563df647ed" /><Relationship Type="http://schemas.openxmlformats.org/officeDocument/2006/relationships/worksheet" Target="/xl/worksheets/sheet13.xml" Id="R0f3ab03a4a1c4b05" /><Relationship Type="http://schemas.openxmlformats.org/officeDocument/2006/relationships/worksheet" Target="/xl/worksheets/sheet14.xml" Id="R3f861025a0bf4e89" /><Relationship Type="http://schemas.openxmlformats.org/officeDocument/2006/relationships/worksheet" Target="/xl/worksheets/sheet15.xml" Id="Rd050c26af1964a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11000061035156" hidden="0" customWidth="1"/>
    <x:col min="2" max="2" width="90" hidden="0" customWidth="1"/>
  </x:cols>
  <x:sheetData>
    <x:row r="1">
      <x:c r="A1" s="3" t="str">
        <x:v>Value Investor Holdings Workbook</x:v>
      </x:c>
    </x:row>
    <x:row r="3">
      <x:c r="A3" s="5" t="str">
        <x:v>Purpose</x:v>
      </x:c>
      <x:c r="B3" s="6" t="str">
        <x:v>Google-Sheets-ready workbook for value investor disclosed holdings, portfolio weights, and recent moves.</x:v>
      </x:c>
    </x:row>
    <x:row r="4">
      <x:c r="A4" s="5" t="str">
        <x:v>Source</x:v>
      </x:c>
      <x:c r="B4" s="6" t="str">
        <x:v>Investment OS value-investor dataset sourced from dated SEC 13-F snapshots and public disclosures.</x:v>
      </x:c>
    </x:row>
    <x:row r="5">
      <x:c r="A5" s="5" t="str">
        <x:v>Market data</x:v>
      </x:c>
      <x:c r="B5" s="6" t="str">
        <x:v>Price and P/E use GOOGLEFINANCE formulas after import into Google Sheets.</x:v>
      </x:c>
    </x:row>
    <x:row r="6">
      <x:c r="A6" s="5" t="str">
        <x:v>Cost basis</x:v>
      </x:c>
      <x:c r="B6" s="6" t="str">
        <x:v>Average Unit Cost is intentionally blank/manual because 13-F filings do not disclose true investor cost basis.</x:v>
      </x:c>
    </x:row>
    <x:row r="7">
      <x:c r="A7" s="5" t="str">
        <x:v>Privacy</x:v>
      </x:c>
      <x:c r="B7" s="6" t="str">
        <x:v>No personal portfolio/account values or local private holdings are included.</x:v>
      </x:c>
    </x:row>
    <x:row r="8">
      <x:c r="A8" s="5" t="str">
        <x:v>Generated</x:v>
      </x:c>
      <x:c r="B8" s="6" t="str">
        <x:v>2026-08-29</x:v>
      </x:c>
    </x:row>
    <x:row r="9">
      <x:c r="A9" s="5" t="str">
        <x:v>Instructions</x:v>
      </x:c>
      <x:c r="B9" s="6" t="str">
        <x:v>Upload/import this XLSX into Google Sheets. Fill Average Unit Cost if you want gain/loss calculations.</x:v>
      </x:c>
    </x:row>
    <x:row r="10">
      <x:c r="A10" s="5" t="str">
        <x:v>Caveat</x:v>
      </x:c>
      <x:c r="B10" s="6" t="str">
        <x:v>13-F reports are delayed snapshots and exclude cash, shorts, private holdings, most bonds, and many derivatives.</x:v>
      </x:c>
    </x:row>
    <x:row r="11">
      <x:c r="A11" s="5" t="str">
        <x:v>App link</x:v>
      </x:c>
      <x:c r="B11" s="6" t="str">
        <x:v>/sheets/value-investor-holdings.xlsx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8000020980835" hidden="0" customWidth="1"/>
    <x:col min="2" max="2" width="18.219999313354492" hidden="0" customWidth="1"/>
    <x:col min="3" max="3" width="16.110000610351562" hidden="0" customWidth="1"/>
    <x:col min="4" max="4" width="19" hidden="0" customWidth="1"/>
    <x:col min="5" max="5" width="5.559999942779541" hidden="0" customWidth="1"/>
    <x:col min="6" max="6" width="17.559999465942383" hidden="0" customWidth="1"/>
    <x:col min="7" max="7" width="18.219999313354492" hidden="0" customWidth="1"/>
    <x:col min="8" max="8" width="10.4399995803833" hidden="0" customWidth="1"/>
    <x:col min="9" max="9" width="11.109999656677246" hidden="0" customWidth="1"/>
    <x:col min="10" max="10" width="12.329999923706055" hidden="0" customWidth="1"/>
    <x:col min="11" max="11" width="14.109999656677246" hidden="0" customWidth="1"/>
    <x:col min="12" max="12" width="9.670000076293945" hidden="0" customWidth="1"/>
    <x:col min="13" max="13" width="58" hidden="0" customWidth="1"/>
  </x:cols>
  <x:sheetData>
    <x:row r="1">
      <x:c r="A1" s="12" t="str">
        <x:v>Ticker</x:v>
      </x:c>
      <x:c r="B1" s="12" t="str">
        <x:v>Company</x:v>
      </x:c>
      <x:c r="C1" s="12" t="str">
        <x:v>Investor</x:v>
      </x:c>
      <x:c r="D1" s="12" t="str">
        <x:v>Firm</x:v>
      </x:c>
      <x:c r="E1" s="12" t="str">
        <x:v>Action</x:v>
      </x:c>
      <x:c r="F1" s="12" t="str">
        <x:v>Portfolio Percent Before</x:v>
      </x:c>
      <x:c r="G1" s="12" t="str">
        <x:v>Portfolio Percent Current</x:v>
      </x:c>
      <x:c r="H1" s="12" t="str">
        <x:v>Shares Before</x:v>
      </x:c>
      <x:c r="I1" s="12" t="str">
        <x:v>Shares Current</x:v>
      </x:c>
      <x:c r="J1" s="12" t="str">
        <x:v>Share Change %</x:v>
      </x:c>
      <x:c r="K1" s="12" t="str">
        <x:v>Period</x:v>
      </x:c>
      <x:c r="L1" s="12" t="str">
        <x:v>Approx Price</x:v>
      </x:c>
      <x:c r="M1" s="12" t="str">
        <x:v>Price Basis</x:v>
      </x:c>
    </x:row>
    <x:row r="2">
      <x:c r="A2" s="8" t="str">
        <x:v>GOOG</x:v>
      </x:c>
      <x:c r="B2" s="8" t="str">
        <x:v>Alphabet Class C</x:v>
      </x:c>
      <x:c r="C2" s="8" t="str">
        <x:v>Warren Buffett</x:v>
      </x:c>
      <x:c r="D2" s="8" t="str">
        <x:v>Berkshire Hathaway</x:v>
      </x:c>
      <x:c r="E2" s="8" t="str">
        <x:v>Add</x:v>
      </x:c>
      <x:c r="F2" s="13" t="n">
        <x:v>0.0039000000000000003</x:v>
      </x:c>
      <x:c r="G2" s="13" t="n">
        <x:v>0.0321</x:v>
      </x:c>
      <x:c r="H2" s="14" t="n">
        <x:v>3585215</x:v>
      </x:c>
      <x:c r="I2" s="14" t="n">
        <x:v>27188433</x:v>
      </x:c>
      <x:c r="J2" s="15" t="n">
        <x:v>6.5834874617003445</x:v>
      </x:c>
      <x:c r="K2" s="8" t="str">
        <x:v>Q2 2026 vs Q1 2026</x:v>
      </x:c>
      <x:c r="L2" s="8" t="str">
        <x:v>~$353</x:v>
      </x:c>
      <x:c r="M2" s="8" t="str">
        <x:v>Approximate Q2 2026 quarter-end price, not the investor's execution price.</x:v>
      </x:c>
    </x:row>
    <x:row r="3">
      <x:c r="A3" s="8" t="str">
        <x:v>GOOG</x:v>
      </x:c>
      <x:c r="B3" s="8" t="str">
        <x:v>Alphabet Class C</x:v>
      </x:c>
      <x:c r="C3" s="8" t="str">
        <x:v>David Tepper</x:v>
      </x:c>
      <x:c r="D3" s="8" t="str">
        <x:v>Appaloosa LP</x:v>
      </x:c>
      <x:c r="E3" s="8" t="str">
        <x:v>Add</x:v>
      </x:c>
      <x:c r="F3" s="13" t="n">
        <x:v>0.08380000000000001</x:v>
      </x:c>
      <x:c r="G3" s="13" t="n">
        <x:v>0.08460000000000001</x:v>
      </x:c>
      <x:c r="H3" s="14" t="n">
        <x:v>1732700</x:v>
      </x:c>
      <x:c r="I3" s="14" t="n">
        <x:v>1850000</x:v>
      </x:c>
      <x:c r="J3" s="15" t="n">
        <x:v>0.06769781266231903</x:v>
      </x:c>
      <x:c r="K3" s="8" t="str">
        <x:v>Q2 2026 vs Q1 2026</x:v>
      </x:c>
      <x:c r="L3" s="8" t="str">
        <x:v>~$354</x:v>
      </x:c>
      <x:c r="M3" s="8" t="str">
        <x:v>Approximate Q2 2026 quarter-end price, not the investor's execution price.</x:v>
      </x:c>
    </x:row>
    <x:row r="4">
      <x:c r="A4" s="8" t="str">
        <x:v>GOOG</x:v>
      </x:c>
      <x:c r="B4" s="8" t="str">
        <x:v>Alphabet Class C</x:v>
      </x:c>
      <x:c r="C4" s="8" t="str">
        <x:v>Chris Hohn</x:v>
      </x:c>
      <x:c r="D4" s="8" t="str">
        <x:v>TCI Fund Management</x:v>
      </x:c>
      <x:c r="E4" s="8" t="str">
        <x:v>Add</x:v>
      </x:c>
      <x:c r="F4" s="13" t="n">
        <x:v>0.0562</x:v>
      </x:c>
      <x:c r="G4" s="13" t="n">
        <x:v>0.0665</x:v>
      </x:c>
      <x:c r="H4" s="14" t="n">
        <x:v>8854019</x:v>
      </x:c>
      <x:c r="I4" s="14" t="n">
        <x:v>9938819</x:v>
      </x:c>
      <x:c r="J4" s="15" t="n">
        <x:v>0.12252063159114539</x:v>
      </x:c>
      <x:c r="K4" s="8" t="str">
        <x:v>Q2 2026 vs Q1 2026</x:v>
      </x:c>
      <x:c r="L4" s="8" t="str">
        <x:v>~$353</x:v>
      </x:c>
      <x:c r="M4" s="8" t="str">
        <x:v>Approximate Q2 2026 quarter-end price, not the investor's execution price.</x:v>
      </x:c>
    </x:row>
    <x:row r="5">
      <x:c r="A5" s="8" t="str">
        <x:v>IVV</x:v>
      </x:c>
      <x:c r="B5" s="8" t="str">
        <x:v>iShares Core S&amp;P 500 ETF</x:v>
      </x:c>
      <x:c r="C5" s="8" t="str">
        <x:v>Joel Greenblatt</x:v>
      </x:c>
      <x:c r="D5" s="8" t="str">
        <x:v>Gotham Asset Management</x:v>
      </x:c>
      <x:c r="E5" s="8" t="str">
        <x:v>Add</x:v>
      </x:c>
      <x:c r="F5" s="13" t="n">
        <x:v>0.0087</x:v>
      </x:c>
      <x:c r="G5" s="13" t="n">
        <x:v>0.0078000000000000005</x:v>
      </x:c>
      <x:c r="H5" s="14" t="n">
        <x:v>435384</x:v>
      </x:c>
      <x:c r="I5" s="14" t="n">
        <x:v>445224</x:v>
      </x:c>
      <x:c r="J5" s="15" t="n">
        <x:v>0.02260073865828789</x:v>
      </x:c>
      <x:c r="K5" s="8" t="str">
        <x:v>Q2 2026 vs Q1 2026</x:v>
      </x:c>
      <x:c r="L5" s="8" t="str">
        <x:v>~$748</x:v>
      </x:c>
      <x:c r="M5" s="8" t="str">
        <x:v>Approximate Q2 2026 quarter-end price, not the investor's execution price.</x:v>
      </x:c>
    </x:row>
    <x:row r="6">
      <x:c r="A6" s="8" t="str">
        <x:v>IVV</x:v>
      </x:c>
      <x:c r="B6" s="8" t="str">
        <x:v>iShares Core S&amp;P 500 ETF</x:v>
      </x:c>
      <x:c r="C6" s="8" t="str">
        <x:v>Ray Dalio / Bridgewater</x:v>
      </x:c>
      <x:c r="D6" s="8" t="str">
        <x:v>Bridgewater Associates</x:v>
      </x:c>
      <x:c r="E6" s="8" t="str">
        <x:v>Add</x:v>
      </x:c>
      <x:c r="F6" s="13" t="n">
        <x:v>0.0781</x:v>
      </x:c>
      <x:c r="G6" s="13" t="n">
        <x:v>0.0922</x:v>
      </x:c>
      <x:c r="H6" s="14" t="n">
        <x:v>2679084</x:v>
      </x:c>
      <x:c r="I6" s="14" t="n">
        <x:v>3002286</x:v>
      </x:c>
      <x:c r="J6" s="15" t="n">
        <x:v>0.12063899452200819</x:v>
      </x:c>
      <x:c r="K6" s="8" t="str">
        <x:v>Q2 2026 vs Q1 2026</x:v>
      </x:c>
      <x:c r="L6" s="8" t="str">
        <x:v>~$749</x:v>
      </x:c>
      <x:c r="M6" s="8" t="str">
        <x:v>Approximate Q2 2026 quarter-end price, not the investor's execution price.</x:v>
      </x:c>
    </x:row>
    <x:row r="7">
      <x:c r="A7" s="8" t="str">
        <x:v>META</x:v>
      </x:c>
      <x:c r="B7" s="8" t="str">
        <x:v>Meta Platforms</x:v>
      </x:c>
      <x:c r="C7" s="8" t="str">
        <x:v>David Tepper</x:v>
      </x:c>
      <x:c r="D7" s="8" t="str">
        <x:v>Appaloosa LP</x:v>
      </x:c>
      <x:c r="E7" s="8" t="str">
        <x:v>Add</x:v>
      </x:c>
      <x:c r="F7" s="13" t="n">
        <x:v>0.0421</x:v>
      </x:c>
      <x:c r="G7" s="13" t="n">
        <x:v>0.0492</x:v>
      </x:c>
      <x:c r="H7" s="14" t="n">
        <x:v>436500</x:v>
      </x:c>
      <x:c r="I7" s="14" t="n">
        <x:v>675000</x:v>
      </x:c>
      <x:c r="J7" s="15" t="n">
        <x:v>0.5463917525773196</x:v>
      </x:c>
      <x:c r="K7" s="8" t="str">
        <x:v>Q2 2026 vs Q1 2026</x:v>
      </x:c>
      <x:c r="L7" s="8" t="str">
        <x:v>~$563</x:v>
      </x:c>
      <x:c r="M7" s="8" t="str">
        <x:v>Approximate Q2 2026 quarter-end price, not the investor's execution price.</x:v>
      </x:c>
    </x:row>
    <x:row r="8">
      <x:c r="A8" s="8" t="str">
        <x:v>META</x:v>
      </x:c>
      <x:c r="B8" s="8" t="str">
        <x:v>Meta Platforms</x:v>
      </x:c>
      <x:c r="C8" s="8" t="str">
        <x:v>Bill Ackman</x:v>
      </x:c>
      <x:c r="D8" s="8" t="str">
        <x:v>Pershing Square</x:v>
      </x:c>
      <x:c r="E8" s="8" t="str">
        <x:v>Add</x:v>
      </x:c>
      <x:c r="F8" s="13" t="n">
        <x:v>0.111</x:v>
      </x:c>
      <x:c r="G8" s="13" t="n">
        <x:v>0.0925</x:v>
      </x:c>
      <x:c r="H8" s="14" t="n">
        <x:v>2660861</x:v>
      </x:c>
      <x:c r="I8" s="14" t="n">
        <x:v>3196062</x:v>
      </x:c>
      <x:c r="J8" s="15" t="n">
        <x:v>0.2011382781738692</x:v>
      </x:c>
      <x:c r="K8" s="8" t="str">
        <x:v>Q2 2026 vs Q1 2026</x:v>
      </x:c>
      <x:c r="L8" s="8" t="str">
        <x:v>~$563</x:v>
      </x:c>
      <x:c r="M8" s="8" t="str">
        <x:v>Approximate Q2 2026 quarter-end price, not the investor's execution price.</x:v>
      </x:c>
    </x:row>
    <x:row r="9">
      <x:c r="A9" s="8" t="str">
        <x:v>SPY</x:v>
      </x:c>
      <x:c r="B9" s="8" t="str">
        <x:v>SPDR S&amp;P 500 ETF Trust</x:v>
      </x:c>
      <x:c r="C9" s="8" t="str">
        <x:v>Joel Greenblatt</x:v>
      </x:c>
      <x:c r="D9" s="8" t="str">
        <x:v>Gotham Asset Management</x:v>
      </x:c>
      <x:c r="E9" s="8" t="str">
        <x:v>Add</x:v>
      </x:c>
      <x:c r="F9" s="13" t="n">
        <x:v>0.1794</x:v>
      </x:c>
      <x:c r="G9" s="13" t="n">
        <x:v>0.198</x:v>
      </x:c>
      <x:c r="H9" s="14" t="n">
        <x:v>9005674</x:v>
      </x:c>
      <x:c r="I9" s="14" t="n">
        <x:v>11393386</x:v>
      </x:c>
      <x:c r="J9" s="15" t="n">
        <x:v>0.2651341809619134</x:v>
      </x:c>
      <x:c r="K9" s="8" t="str">
        <x:v>Q2 2026 vs Q1 2026</x:v>
      </x:c>
      <x:c r="L9" s="8" t="str">
        <x:v>~$747</x:v>
      </x:c>
      <x:c r="M9" s="8" t="str">
        <x:v>Approximate Q2 2026 quarter-end price, not the investor's execution price.</x:v>
      </x:c>
    </x:row>
    <x:row r="10">
      <x:c r="A10" s="8" t="str">
        <x:v>SPY</x:v>
      </x:c>
      <x:c r="B10" s="8" t="str">
        <x:v>SPDR S&amp;P 500 ETF Trust</x:v>
      </x:c>
      <x:c r="C10" s="8" t="str">
        <x:v>Ray Dalio / Bridgewater</x:v>
      </x:c>
      <x:c r="D10" s="8" t="str">
        <x:v>Bridgewater Associates</x:v>
      </x:c>
      <x:c r="E10" s="8" t="str">
        <x:v>Add</x:v>
      </x:c>
      <x:c r="F10" s="13" t="n">
        <x:v>0.1267</x:v>
      </x:c>
      <x:c r="G10" s="13" t="n">
        <x:v>0.163</x:v>
      </x:c>
      <x:c r="H10" s="14" t="n">
        <x:v>4364862</x:v>
      </x:c>
      <x:c r="I10" s="14" t="n">
        <x:v>5320308</x:v>
      </x:c>
      <x:c r="J10" s="15" t="n">
        <x:v>0.21889489289695768</x:v>
      </x:c>
      <x:c r="K10" s="8" t="str">
        <x:v>Q2 2026 vs Q1 2026</x:v>
      </x:c>
      <x:c r="L10" s="8" t="str">
        <x:v>~$747</x:v>
      </x:c>
      <x:c r="M10" s="8" t="str">
        <x:v>Approximate Q2 2026 quarter-end price, not the investor's execution price.</x:v>
      </x:c>
    </x:row>
    <x:row r="11">
      <x:c r="A11" s="8" t="str">
        <x:v>UBER</x:v>
      </x:c>
      <x:c r="B11" s="8" t="str">
        <x:v>Uber Technologies</x:v>
      </x:c>
      <x:c r="C11" s="8" t="str">
        <x:v>David Tepper</x:v>
      </x:c>
      <x:c r="D11" s="8" t="str">
        <x:v>Appaloosa LP</x:v>
      </x:c>
      <x:c r="E11" s="8" t="str">
        <x:v>Add</x:v>
      </x:c>
      <x:c r="F11" s="13" t="n">
        <x:v>0.0768</x:v>
      </x:c>
      <x:c r="G11" s="13" t="n">
        <x:v>0.0719</x:v>
      </x:c>
      <x:c r="H11" s="14" t="n">
        <x:v>6332720</x:v>
      </x:c>
      <x:c r="I11" s="14" t="n">
        <x:v>7694071</x:v>
      </x:c>
      <x:c r="J11" s="15" t="n">
        <x:v>0.21497097613663638</x:v>
      </x:c>
      <x:c r="K11" s="8" t="str">
        <x:v>Q2 2026 vs Q1 2026</x:v>
      </x:c>
      <x:c r="L11" s="8" t="str">
        <x:v>~$72</x:v>
      </x:c>
      <x:c r="M11" s="8" t="str">
        <x:v>Approximate Q2 2026 quarter-end price, not the investor's execution price.</x:v>
      </x:c>
    </x:row>
    <x:row r="12">
      <x:c r="A12" s="8" t="str">
        <x:v>UBER</x:v>
      </x:c>
      <x:c r="B12" s="8" t="str">
        <x:v>Uber Technologies</x:v>
      </x:c>
      <x:c r="C12" s="8" t="str">
        <x:v>Bill Ackman</x:v>
      </x:c>
      <x:c r="D12" s="8" t="str">
        <x:v>Pershing Square</x:v>
      </x:c>
      <x:c r="E12" s="8" t="str">
        <x:v>Add</x:v>
      </x:c>
      <x:c r="F12" s="13" t="n">
        <x:v>0.15710000000000002</x:v>
      </x:c>
      <x:c r="G12" s="13" t="n">
        <x:v>0.1272</x:v>
      </x:c>
      <x:c r="H12" s="14" t="n">
        <x:v>29958771</x:v>
      </x:c>
      <x:c r="I12" s="14" t="n">
        <x:v>34326200</x:v>
      </x:c>
      <x:c r="J12" s="15" t="n">
        <x:v>0.14578131392639576</x:v>
      </x:c>
      <x:c r="K12" s="8" t="str">
        <x:v>Q2 2026 vs Q1 2026</x:v>
      </x:c>
      <x:c r="L12" s="8" t="str">
        <x:v>~$72</x:v>
      </x:c>
      <x:c r="M12" s="8" t="str">
        <x:v>Approximate Q2 2026 quarter-end price, not the investor's execution price.</x:v>
      </x:c>
    </x:row>
    <x:row r="13">
      <x:c r="A13" s="8" t="str">
        <x:v>VOO</x:v>
      </x:c>
      <x:c r="B13" s="8" t="str">
        <x:v>Vanguard S&amp;P 500 ETF</x:v>
      </x:c>
      <x:c r="C13" s="8" t="str">
        <x:v>Joel Greenblatt</x:v>
      </x:c>
      <x:c r="D13" s="8" t="str">
        <x:v>Gotham Asset Management</x:v>
      </x:c>
      <x:c r="E13" s="8" t="str">
        <x:v>Add</x:v>
      </x:c>
      <x:c r="F13" s="13" t="n">
        <x:v>0.0051</x:v>
      </x:c>
      <x:c r="G13" s="13" t="n">
        <x:v>0.0046</x:v>
      </x:c>
      <x:c r="H13" s="14" t="n">
        <x:v>276774</x:v>
      </x:c>
      <x:c r="I13" s="14" t="n">
        <x:v>286051</x:v>
      </x:c>
      <x:c r="J13" s="15" t="n">
        <x:v>0.03351832180768417</x:v>
      </x:c>
      <x:c r="K13" s="8" t="str">
        <x:v>Q2 2026 vs Q1 2026</x:v>
      </x:c>
      <x:c r="L13" s="8" t="str">
        <x:v>~$685</x:v>
      </x:c>
      <x:c r="M13" s="8" t="str">
        <x:v>Approximate Q2 2026 quarter-end price, not the investor's execution price.</x:v>
      </x:c>
    </x:row>
    <x:row r="14">
      <x:c r="A14" s="8" t="str">
        <x:v>VOO</x:v>
      </x:c>
      <x:c r="B14" s="8" t="str">
        <x:v>Vanguard S&amp;P 500 ETF</x:v>
      </x:c>
      <x:c r="C14" s="8" t="str">
        <x:v>Ray Dalio / Bridgewater</x:v>
      </x:c>
      <x:c r="D14" s="8" t="str">
        <x:v>Bridgewater Associates</x:v>
      </x:c>
      <x:c r="E14" s="8" t="str">
        <x:v>Add</x:v>
      </x:c>
      <x:c r="F14" s="13" t="n">
        <x:v>0.0042</x:v>
      </x:c>
      <x:c r="G14" s="13" t="n">
        <x:v>0.0129</x:v>
      </x:c>
      <x:c r="H14" s="14" t="n">
        <x:v>158628</x:v>
      </x:c>
      <x:c r="I14" s="14" t="n">
        <x:v>458381</x:v>
      </x:c>
      <x:c r="J14" s="15" t="n">
        <x:v>1.8896600852308547</x:v>
      </x:c>
      <x:c r="K14" s="8" t="str">
        <x:v>Q2 2026 vs Q1 2026</x:v>
      </x:c>
      <x:c r="L14" s="8" t="str">
        <x:v>~$687</x:v>
      </x:c>
      <x:c r="M14" s="8" t="str">
        <x:v>Approximate Q2 2026 quarter-end price, not the investor's execution price.</x:v>
      </x:c>
    </x:row>
    <x:row r="15">
      <x:c r="A15" s="8" t="str">
        <x:v>V</x:v>
      </x:c>
      <x:c r="B15" s="8" t="str">
        <x:v>Visa</x:v>
      </x:c>
      <x:c r="C15" s="8" t="str">
        <x:v>Bill Ackman</x:v>
      </x:c>
      <x:c r="D15" s="8" t="str">
        <x:v>Pershing Square</x:v>
      </x:c>
      <x:c r="E15" s="8" t="str">
        <x:v>New</x:v>
      </x:c>
      <x:c r="F15" s="13" t="n">
        <x:v>0</x:v>
      </x:c>
      <x:c r="G15" s="13" t="n">
        <x:v>0.0576</x:v>
      </x:c>
      <x:c r="H15" s="14" t="n">
        <x:v>0</x:v>
      </x:c>
      <x:c r="I15" s="14" t="n">
        <x:v>3270470</x:v>
      </x:c>
      <x:c r="J15" s="15"/>
      <x:c r="K15" s="8" t="str">
        <x:v>Q2 2026 vs Q1 2026</x:v>
      </x:c>
      <x:c r="L15" s="8" t="str">
        <x:v>~$343</x:v>
      </x:c>
      <x:c r="M15" s="8" t="str">
        <x:v>Approximate Q2 2026 quarter-end price, not the investor's execution price.</x:v>
      </x:c>
    </x:row>
    <x:row r="16">
      <x:c r="A16" s="8" t="str">
        <x:v>V</x:v>
      </x:c>
      <x:c r="B16" s="8" t="str">
        <x:v>Visa</x:v>
      </x:c>
      <x:c r="C16" s="8" t="str">
        <x:v>Chris Hohn</x:v>
      </x:c>
      <x:c r="D16" s="8" t="str">
        <x:v>TCI Fund Management</x:v>
      </x:c>
      <x:c r="E16" s="8" t="str">
        <x:v>Add</x:v>
      </x:c>
      <x:c r="F16" s="13" t="n">
        <x:v>0.2039</x:v>
      </x:c>
      <x:c r="G16" s="13" t="n">
        <x:v>0.19829999999999998</x:v>
      </x:c>
      <x:c r="H16" s="14" t="n">
        <x:v>30468133</x:v>
      </x:c>
      <x:c r="I16" s="14" t="n">
        <x:v>30494133</x:v>
      </x:c>
      <x:c r="J16" s="15" t="n">
        <x:v>0.000853350613902066</x:v>
      </x:c>
      <x:c r="K16" s="8" t="str">
        <x:v>Q2 2026 vs Q1 2026</x:v>
      </x:c>
      <x:c r="L16" s="8" t="str">
        <x:v>~$343</x:v>
      </x:c>
      <x:c r="M16" s="8" t="str">
        <x:v>Approximate Q2 2026 quarter-end price, not the investor's execution price.</x:v>
      </x:c>
    </x:row>
    <x:row r="17">
      <x:c r="A17" s="8" t="str">
        <x:v>AMZN</x:v>
      </x:c>
      <x:c r="B17" s="8" t="str">
        <x:v>Amazon</x:v>
      </x:c>
      <x:c r="C17" s="8" t="str">
        <x:v>David Tepper</x:v>
      </x:c>
      <x:c r="D17" s="8" t="str">
        <x:v>Appaloosa LP</x:v>
      </x:c>
      <x:c r="E17" s="8" t="str">
        <x:v>Add</x:v>
      </x:c>
      <x:c r="F17" s="13" t="n">
        <x:v>0.1516</x:v>
      </x:c>
      <x:c r="G17" s="13" t="n">
        <x:v>0.1543</x:v>
      </x:c>
      <x:c r="H17" s="14" t="n">
        <x:v>4320000</x:v>
      </x:c>
      <x:c r="I17" s="14" t="n">
        <x:v>5000000</x:v>
      </x:c>
      <x:c r="J17" s="15" t="n">
        <x:v>0.15740740740740733</x:v>
      </x:c>
      <x:c r="K17" s="8" t="str">
        <x:v>Q2 2026 vs Q1 2026</x:v>
      </x:c>
      <x:c r="L17" s="8" t="str">
        <x:v>~$238</x:v>
      </x:c>
      <x:c r="M17" s="8" t="str">
        <x:v>Approximate Q2 2026 quarter-end price, not the investor's execution price.</x:v>
      </x:c>
    </x:row>
    <x:row r="18">
      <x:c r="A18" s="8" t="str">
        <x:v>AMZN</x:v>
      </x:c>
      <x:c r="B18" s="8" t="str">
        <x:v>Amazon</x:v>
      </x:c>
      <x:c r="C18" s="8" t="str">
        <x:v>ValueAct Capital</x:v>
      </x:c>
      <x:c r="D18" s="8" t="str">
        <x:v>ValueAct Holdings, L.P.</x:v>
      </x:c>
      <x:c r="E18" s="8" t="str">
        <x:v>Add</x:v>
      </x:c>
      <x:c r="F18" s="13" t="n">
        <x:v>0.1052</x:v>
      </x:c>
      <x:c r="G18" s="13" t="n">
        <x:v>0.1244</x:v>
      </x:c>
      <x:c r="H18" s="14" t="n">
        <x:v>2884600</x:v>
      </x:c>
      <x:c r="I18" s="14" t="n">
        <x:v>2941700</x:v>
      </x:c>
      <x:c r="J18" s="15" t="n">
        <x:v>0.019794772238785327</x:v>
      </x:c>
      <x:c r="K18" s="8" t="str">
        <x:v>Q2 2026 vs Q1 2026</x:v>
      </x:c>
      <x:c r="L18" s="8" t="str">
        <x:v>~$238</x:v>
      </x:c>
      <x:c r="M18" s="8" t="str">
        <x:v>Approximate Q2 2026 quarter-end price, not the investor's execution price.</x:v>
      </x:c>
    </x:row>
    <x:row r="19">
      <x:c r="A19" s="8" t="str">
        <x:v>AMZN</x:v>
      </x:c>
      <x:c r="B19" s="8" t="str">
        <x:v>Amazon</x:v>
      </x:c>
      <x:c r="C19" s="8" t="str">
        <x:v>Joel Greenblatt</x:v>
      </x:c>
      <x:c r="D19" s="8" t="str">
        <x:v>Gotham Asset Management</x:v>
      </x:c>
      <x:c r="E19" s="8" t="str">
        <x:v>Add</x:v>
      </x:c>
      <x:c r="F19" s="13" t="n">
        <x:v>0.005</x:v>
      </x:c>
      <x:c r="G19" s="13" t="n">
        <x:v>0.004699999999999999</x:v>
      </x:c>
      <x:c r="H19" s="14" t="n">
        <x:v>789833</x:v>
      </x:c>
      <x:c r="I19" s="14" t="n">
        <x:v>839512</x:v>
      </x:c>
      <x:c r="J19" s="15" t="n">
        <x:v>0.0628981063085488</x:v>
      </x:c>
      <x:c r="K19" s="8" t="str">
        <x:v>Q2 2026 vs Q1 2026</x:v>
      </x:c>
      <x:c r="L19" s="8" t="str">
        <x:v>~$238</x:v>
      </x:c>
      <x:c r="M19" s="8" t="str">
        <x:v>Approximate Q2 2026 quarter-end price, not the investor's execution price.</x:v>
      </x:c>
    </x:row>
    <x:row r="20">
      <x:c r="A20" s="8" t="str">
        <x:v>AMZN</x:v>
      </x:c>
      <x:c r="B20" s="8" t="str">
        <x:v>Amazon</x:v>
      </x:c>
      <x:c r="C20" s="8" t="str">
        <x:v>Bill Ackman</x:v>
      </x:c>
      <x:c r="D20" s="8" t="str">
        <x:v>Pershing Square</x:v>
      </x:c>
      <x:c r="E20" s="8" t="str">
        <x:v>Reduce</x:v>
      </x:c>
      <x:c r="F20" s="13" t="n">
        <x:v>0.1739</x:v>
      </x:c>
      <x:c r="G20" s="13" t="n">
        <x:v>0.10490000000000001</x:v>
      </x:c>
      <x:c r="H20" s="14" t="n">
        <x:v>11451981</x:v>
      </x:c>
      <x:c r="I20" s="14" t="n">
        <x:v>8563857</x:v>
      </x:c>
      <x:c r="J20" s="15" t="n">
        <x:v>-0.2521942710173899</x:v>
      </x:c>
      <x:c r="K20" s="8" t="str">
        <x:v>Q2 2026 vs Q1 2026</x:v>
      </x:c>
      <x:c r="L20" s="8" t="str">
        <x:v>~$238</x:v>
      </x:c>
      <x:c r="M20" s="8" t="str">
        <x:v>Approximate Q2 2026 remaining-position quarter-end price, not the investor's sale price.</x:v>
      </x:c>
    </x:row>
    <x:row r="21">
      <x:c r="A21" s="8" t="str">
        <x:v>AMZN</x:v>
      </x:c>
      <x:c r="B21" s="8" t="str">
        <x:v>Amazon</x:v>
      </x:c>
      <x:c r="C21" s="8" t="str">
        <x:v>Ray Dalio / Bridgewater</x:v>
      </x:c>
      <x:c r="D21" s="8" t="str">
        <x:v>Bridgewater Associates</x:v>
      </x:c>
      <x:c r="E21" s="8" t="str">
        <x:v>Reduce</x:v>
      </x:c>
      <x:c r="F21" s="13" t="n">
        <x:v>0.0408</x:v>
      </x:c>
      <x:c r="G21" s="13" t="n">
        <x:v>0.019799999999999998</x:v>
      </x:c>
      <x:c r="H21" s="14" t="n">
        <x:v>4388711</x:v>
      </x:c>
      <x:c r="I21" s="14" t="n">
        <x:v>2025481</x:v>
      </x:c>
      <x:c r="J21" s="15" t="n">
        <x:v>-0.5384792938063134</x:v>
      </x:c>
      <x:c r="K21" s="8" t="str">
        <x:v>Q2 2026 vs Q1 2026</x:v>
      </x:c>
      <x:c r="L21" s="8" t="str">
        <x:v>~$238</x:v>
      </x:c>
      <x:c r="M21" s="8" t="str">
        <x:v>Approximate Q2 2026 remaining-position quarter-end price, not the investor's sale price.</x:v>
      </x:c>
    </x:row>
    <x:row r="22">
      <x:c r="A22" s="8" t="str">
        <x:v>GOOGL</x:v>
      </x:c>
      <x:c r="B22" s="8" t="str">
        <x:v>Alphabet Class A</x:v>
      </x:c>
      <x:c r="C22" s="8" t="str">
        <x:v>Warren Buffett</x:v>
      </x:c>
      <x:c r="D22" s="8" t="str">
        <x:v>Berkshire Hathaway</x:v>
      </x:c>
      <x:c r="E22" s="8" t="str">
        <x:v>Add</x:v>
      </x:c>
      <x:c r="F22" s="13" t="n">
        <x:v>0.0593</x:v>
      </x:c>
      <x:c r="G22" s="13" t="n">
        <x:v>0.0941</x:v>
      </x:c>
      <x:c r="H22" s="14" t="n">
        <x:v>54249798</x:v>
      </x:c>
      <x:c r="I22" s="14" t="n">
        <x:v>78791167</x:v>
      </x:c>
      <x:c r="J22" s="15" t="n">
        <x:v>0.45237714986514793</x:v>
      </x:c>
      <x:c r="K22" s="8" t="str">
        <x:v>Q2 2026 vs Q1 2026</x:v>
      </x:c>
      <x:c r="L22" s="8" t="str">
        <x:v>~$357</x:v>
      </x:c>
      <x:c r="M22" s="8" t="str">
        <x:v>Approximate Q2 2026 quarter-end price, not the investor's execution price.</x:v>
      </x:c>
    </x:row>
    <x:row r="23">
      <x:c r="A23" s="8" t="str">
        <x:v>GOOGL</x:v>
      </x:c>
      <x:c r="B23" s="8" t="str">
        <x:v>Alphabet Class A</x:v>
      </x:c>
      <x:c r="C23" s="8" t="str">
        <x:v>Joel Greenblatt</x:v>
      </x:c>
      <x:c r="D23" s="8" t="str">
        <x:v>Gotham Asset Management</x:v>
      </x:c>
      <x:c r="E23" s="8" t="str">
        <x:v>Add</x:v>
      </x:c>
      <x:c r="F23" s="13" t="n">
        <x:v>0.0048</x:v>
      </x:c>
      <x:c r="G23" s="13" t="n">
        <x:v>0.0046</x:v>
      </x:c>
      <x:c r="H23" s="14" t="n">
        <x:v>549121</x:v>
      </x:c>
      <x:c r="I23" s="14" t="n">
        <x:v>554564</x:v>
      </x:c>
      <x:c r="J23" s="15" t="n">
        <x:v>0.009912205142400266</x:v>
      </x:c>
      <x:c r="K23" s="8" t="str">
        <x:v>Q2 2026 vs Q1 2026</x:v>
      </x:c>
      <x:c r="L23" s="8" t="str">
        <x:v>~$357</x:v>
      </x:c>
      <x:c r="M23" s="8" t="str">
        <x:v>Approximate Q2 2026 quarter-end price, not the investor's execution price.</x:v>
      </x:c>
    </x:row>
    <x:row r="24">
      <x:c r="A24" s="8" t="str">
        <x:v>GOOGL</x:v>
      </x:c>
      <x:c r="B24" s="8" t="str">
        <x:v>Alphabet Class A</x:v>
      </x:c>
      <x:c r="C24" s="8" t="str">
        <x:v>Ray Dalio / Bridgewater</x:v>
      </x:c>
      <x:c r="D24" s="8" t="str">
        <x:v>Bridgewater Associates</x:v>
      </x:c>
      <x:c r="E24" s="8" t="str">
        <x:v>Reduce</x:v>
      </x:c>
      <x:c r="F24" s="13" t="n">
        <x:v>0.0256</x:v>
      </x:c>
      <x:c r="G24" s="13" t="n">
        <x:v>0.0194</x:v>
      </x:c>
      <x:c r="H24" s="14" t="n">
        <x:v>1997674</x:v>
      </x:c>
      <x:c r="I24" s="14" t="n">
        <x:v>1322176</x:v>
      </x:c>
      <x:c r="J24" s="15" t="n">
        <x:v>-0.3381422594477377</x:v>
      </x:c>
      <x:c r="K24" s="8" t="str">
        <x:v>Q2 2026 vs Q1 2026</x:v>
      </x:c>
      <x:c r="L24" s="8" t="str">
        <x:v>~$358</x:v>
      </x:c>
      <x:c r="M24" s="8" t="str">
        <x:v>Approximate Q2 2026 remaining-position quarter-end price, not the investor's sale price.</x:v>
      </x:c>
    </x:row>
    <x:row r="25">
      <x:c r="A25" s="8" t="str">
        <x:v>SPGI</x:v>
      </x:c>
      <x:c r="B25" s="8" t="str">
        <x:v>S&amp;P Global</x:v>
      </x:c>
      <x:c r="C25" s="8" t="str">
        <x:v>Bill Ackman</x:v>
      </x:c>
      <x:c r="D25" s="8" t="str">
        <x:v>Pershing Square</x:v>
      </x:c>
      <x:c r="E25" s="8" t="str">
        <x:v>New</x:v>
      </x:c>
      <x:c r="F25" s="13" t="n">
        <x:v>0</x:v>
      </x:c>
      <x:c r="G25" s="13" t="n">
        <x:v>0.054299999999999994</x:v>
      </x:c>
      <x:c r="H25" s="14" t="n">
        <x:v>0</x:v>
      </x:c>
      <x:c r="I25" s="14" t="n">
        <x:v>2593155</x:v>
      </x:c>
      <x:c r="J25" s="15"/>
      <x:c r="K25" s="8" t="str">
        <x:v>Q2 2026 vs Q1 2026</x:v>
      </x:c>
      <x:c r="L25" s="8" t="str">
        <x:v>~$407</x:v>
      </x:c>
      <x:c r="M25" s="8" t="str">
        <x:v>Approximate Q2 2026 quarter-end price, not the investor's execution price.</x:v>
      </x:c>
    </x:row>
    <x:row r="26">
      <x:c r="A26" s="8" t="str">
        <x:v>SPGI</x:v>
      </x:c>
      <x:c r="B26" s="8" t="str">
        <x:v>S&amp;P Global</x:v>
      </x:c>
      <x:c r="C26" s="8" t="str">
        <x:v>Chris Hohn</x:v>
      </x:c>
      <x:c r="D26" s="8" t="str">
        <x:v>TCI Fund Management</x:v>
      </x:c>
      <x:c r="E26" s="8" t="str">
        <x:v>Add</x:v>
      </x:c>
      <x:c r="F26" s="13" t="n">
        <x:v>0.1322</x:v>
      </x:c>
      <x:c r="G26" s="13" t="n">
        <x:v>0.10869999999999999</x:v>
      </x:c>
      <x:c r="H26" s="14" t="n">
        <x:v>14035310</x:v>
      </x:c>
      <x:c r="I26" s="14" t="n">
        <x:v>14081957</x:v>
      </x:c>
      <x:c r="J26" s="15" t="n">
        <x:v>0.0033235461133383102</x:v>
      </x:c>
      <x:c r="K26" s="8" t="str">
        <x:v>Q2 2026 vs Q1 2026</x:v>
      </x:c>
      <x:c r="L26" s="8" t="str">
        <x:v>~$407</x:v>
      </x:c>
      <x:c r="M26" s="8" t="str">
        <x:v>Approximate Q2 2026 quarter-end price, not the investor's execution price.</x:v>
      </x:c>
    </x:row>
    <x:row r="27">
      <x:c r="A27" s="8" t="str">
        <x:v>SPGI</x:v>
      </x:c>
      <x:c r="B27" s="8" t="str">
        <x:v>S&amp;P Global</x:v>
      </x:c>
      <x:c r="C27" s="8" t="str">
        <x:v>Li Lu</x:v>
      </x:c>
      <x:c r="D27" s="8" t="str">
        <x:v>Himalaya Capital</x:v>
      </x:c>
      <x:c r="E27" s="8" t="str">
        <x:v>Exit</x:v>
      </x:c>
      <x:c r="F27" s="13" t="n">
        <x:v>0.0161</x:v>
      </x:c>
      <x:c r="G27" s="13" t="n">
        <x:v>0</x:v>
      </x:c>
      <x:c r="H27" s="14" t="n">
        <x:v>121463</x:v>
      </x:c>
      <x:c r="I27" s="14" t="n">
        <x:v>0</x:v>
      </x:c>
      <x:c r="J27" s="15" t="n">
        <x:v>-1</x:v>
      </x:c>
      <x:c r="K27" s="8" t="str">
        <x:v>Q2 2026 vs Q1 2026</x:v>
      </x:c>
      <x:c r="L27" s="8"/>
      <x:c r="M27" s="8" t="str">
        <x:v>No quarter-end price approximation is available for this move.</x:v>
      </x:c>
    </x:row>
    <x:row r="28">
      <x:c r="A28" s="8" t="str">
        <x:v>VST</x:v>
      </x:c>
      <x:c r="B28" s="8" t="str">
        <x:v>Vistra</x:v>
      </x:c>
      <x:c r="C28" s="8" t="str">
        <x:v>David Tepper</x:v>
      </x:c>
      <x:c r="D28" s="8" t="str">
        <x:v>Appaloosa LP</x:v>
      </x:c>
      <x:c r="E28" s="8" t="str">
        <x:v>Add</x:v>
      </x:c>
      <x:c r="F28" s="13" t="n">
        <x:v>0.0512</x:v>
      </x:c>
      <x:c r="G28" s="13" t="n">
        <x:v>0.0455</x:v>
      </x:c>
      <x:c r="H28" s="14" t="n">
        <x:v>2022332</x:v>
      </x:c>
      <x:c r="I28" s="14" t="n">
        <x:v>2215272</x:v>
      </x:c>
      <x:c r="J28" s="15" t="n">
        <x:v>0.09540471099700748</x:v>
      </x:c>
      <x:c r="K28" s="8" t="str">
        <x:v>Q2 2026 vs Q1 2026</x:v>
      </x:c>
      <x:c r="L28" s="8" t="str">
        <x:v>~$158</x:v>
      </x:c>
      <x:c r="M28" s="8" t="str">
        <x:v>Approximate Q2 2026 quarter-end price, not the investor's execution price.</x:v>
      </x:c>
    </x:row>
    <x:row r="29">
      <x:c r="A29" s="8" t="str">
        <x:v>MSFT</x:v>
      </x:c>
      <x:c r="B29" s="8" t="str">
        <x:v>Microsoft</x:v>
      </x:c>
      <x:c r="C29" s="8" t="str">
        <x:v>Bill Ackman</x:v>
      </x:c>
      <x:c r="D29" s="8" t="str">
        <x:v>Pershing Square</x:v>
      </x:c>
      <x:c r="E29" s="8" t="str">
        <x:v>Add</x:v>
      </x:c>
      <x:c r="F29" s="13" t="n">
        <x:v>0.15259999999999999</x:v>
      </x:c>
      <x:c r="G29" s="13" t="n">
        <x:v>0.1189</x:v>
      </x:c>
      <x:c r="H29" s="14" t="n">
        <x:v>5654078</x:v>
      </x:c>
      <x:c r="I29" s="14" t="n">
        <x:v>6206730</x:v>
      </x:c>
      <x:c r="J29" s="15" t="n">
        <x:v>0.09774396462164125</x:v>
      </x:c>
      <x:c r="K29" s="8" t="str">
        <x:v>Q2 2026 vs Q1 2026</x:v>
      </x:c>
      <x:c r="L29" s="8" t="str">
        <x:v>~$373</x:v>
      </x:c>
      <x:c r="M29" s="8" t="str">
        <x:v>Approximate Q2 2026 quarter-end price, not the investor's execution price.</x:v>
      </x:c>
    </x:row>
    <x:row r="30">
      <x:c r="A30" s="8" t="str">
        <x:v>MSFT</x:v>
      </x:c>
      <x:c r="B30" s="8" t="str">
        <x:v>Microsoft</x:v>
      </x:c>
      <x:c r="C30" s="8" t="str">
        <x:v>Chris Hohn</x:v>
      </x:c>
      <x:c r="D30" s="8" t="str">
        <x:v>TCI Fund Management</x:v>
      </x:c>
      <x:c r="E30" s="8" t="str">
        <x:v>Exit</x:v>
      </x:c>
      <x:c r="F30" s="13" t="n">
        <x:v>0.022400000000000003</x:v>
      </x:c>
      <x:c r="G30" s="13" t="n">
        <x:v>0</x:v>
      </x:c>
      <x:c r="H30" s="14" t="n">
        <x:v>2728412</x:v>
      </x:c>
      <x:c r="I30" s="14" t="n">
        <x:v>0</x:v>
      </x:c>
      <x:c r="J30" s="15" t="n">
        <x:v>-1</x:v>
      </x:c>
      <x:c r="K30" s="8" t="str">
        <x:v>Q2 2026 vs Q1 2026</x:v>
      </x:c>
      <x:c r="L30" s="8"/>
      <x:c r="M30" s="8" t="str">
        <x:v>No quarter-end price approximation is available for this move.</x:v>
      </x:c>
    </x:row>
    <x:row r="31">
      <x:c r="A31" s="8" t="str">
        <x:v>MSFT</x:v>
      </x:c>
      <x:c r="B31" s="8" t="str">
        <x:v>Microsoft</x:v>
      </x:c>
      <x:c r="C31" s="8" t="str">
        <x:v>Ray Dalio / Bridgewater</x:v>
      </x:c>
      <x:c r="D31" s="8" t="str">
        <x:v>Bridgewater Associates</x:v>
      </x:c>
      <x:c r="E31" s="8" t="str">
        <x:v>Reduce</x:v>
      </x:c>
      <x:c r="F31" s="13" t="n">
        <x:v>0.0179</x:v>
      </x:c>
      <x:c r="G31" s="13" t="n">
        <x:v>0.0109</x:v>
      </x:c>
      <x:c r="H31" s="14" t="n">
        <x:v>1084979</x:v>
      </x:c>
      <x:c r="I31" s="14" t="n">
        <x:v>711896</x:v>
      </x:c>
      <x:c r="J31" s="15" t="n">
        <x:v>-0.34386195493184657</x:v>
      </x:c>
      <x:c r="K31" s="8" t="str">
        <x:v>Q2 2026 vs Q1 2026</x:v>
      </x:c>
      <x:c r="L31" s="8"/>
      <x:c r="M31" s="8" t="str">
        <x:v>No quarter-end price approximation is available for this move.</x:v>
      </x:c>
    </x:row>
    <x:row r="32">
      <x:c r="A32" s="8" t="str">
        <x:v>NVDA</x:v>
      </x:c>
      <x:c r="B32" s="8" t="str">
        <x:v>NVIDIA</x:v>
      </x:c>
      <x:c r="C32" s="8" t="str">
        <x:v>David Tepper</x:v>
      </x:c>
      <x:c r="D32" s="8" t="str">
        <x:v>Appaloosa LP</x:v>
      </x:c>
      <x:c r="E32" s="8" t="str">
        <x:v>Add</x:v>
      </x:c>
      <x:c r="F32" s="13" t="n">
        <x:v>0.0433</x:v>
      </x:c>
      <x:c r="G32" s="13" t="n">
        <x:v>0.0395</x:v>
      </x:c>
      <x:c r="H32" s="14" t="n">
        <x:v>1471500</x:v>
      </x:c>
      <x:c r="I32" s="14" t="n">
        <x:v>1525000</x:v>
      </x:c>
      <x:c r="J32" s="15" t="n">
        <x:v>0.036357458375806916</x:v>
      </x:c>
      <x:c r="K32" s="8" t="str">
        <x:v>Q2 2026 vs Q1 2026</x:v>
      </x:c>
      <x:c r="L32" s="8" t="str">
        <x:v>~$200</x:v>
      </x:c>
      <x:c r="M32" s="8" t="str">
        <x:v>Approximate Q2 2026 quarter-end price, not the investor's execution price.</x:v>
      </x:c>
    </x:row>
    <x:row r="33">
      <x:c r="A33" s="8" t="str">
        <x:v>NVDA</x:v>
      </x:c>
      <x:c r="B33" s="8" t="str">
        <x:v>NVIDIA</x:v>
      </x:c>
      <x:c r="C33" s="8" t="str">
        <x:v>Joel Greenblatt</x:v>
      </x:c>
      <x:c r="D33" s="8" t="str">
        <x:v>Gotham Asset Management</x:v>
      </x:c>
      <x:c r="E33" s="8" t="str">
        <x:v>Reduce</x:v>
      </x:c>
      <x:c r="F33" s="13" t="n">
        <x:v>0.022099999999999998</x:v>
      </x:c>
      <x:c r="G33" s="13" t="n">
        <x:v>0.0187</x:v>
      </x:c>
      <x:c r="H33" s="14" t="n">
        <x:v>4132873</x:v>
      </x:c>
      <x:c r="I33" s="14" t="n">
        <x:v>4018967</x:v>
      </x:c>
      <x:c r="J33" s="15" t="n">
        <x:v>-0.02756097271800998</x:v>
      </x:c>
      <x:c r="K33" s="8" t="str">
        <x:v>Q2 2026 vs Q1 2026</x:v>
      </x:c>
      <x:c r="L33" s="8" t="str">
        <x:v>~$200</x:v>
      </x:c>
      <x:c r="M33" s="8" t="str">
        <x:v>Approximate Q2 2026 remaining-position quarter-end price, not the investor's sale price.</x:v>
      </x:c>
    </x:row>
    <x:row r="34">
      <x:c r="A34" s="8" t="str">
        <x:v>NVDA</x:v>
      </x:c>
      <x:c r="B34" s="8" t="str">
        <x:v>NVIDIA</x:v>
      </x:c>
      <x:c r="C34" s="8" t="str">
        <x:v>Ray Dalio / Bridgewater</x:v>
      </x:c>
      <x:c r="D34" s="8" t="str">
        <x:v>Bridgewater Associates</x:v>
      </x:c>
      <x:c r="E34" s="8" t="str">
        <x:v>Reduce</x:v>
      </x:c>
      <x:c r="F34" s="13" t="n">
        <x:v>0.0365</x:v>
      </x:c>
      <x:c r="G34" s="13" t="n">
        <x:v>0.0317</x:v>
      </x:c>
      <x:c r="H34" s="14" t="n">
        <x:v>4693003</x:v>
      </x:c>
      <x:c r="I34" s="14" t="n">
        <x:v>3866195</x:v>
      </x:c>
      <x:c r="J34" s="15" t="n">
        <x:v>-0.17617887736274626</x:v>
      </x:c>
      <x:c r="K34" s="8" t="str">
        <x:v>Q2 2026 vs Q1 2026</x:v>
      </x:c>
      <x:c r="L34" s="8" t="str">
        <x:v>~$200</x:v>
      </x:c>
      <x:c r="M34" s="8" t="str">
        <x:v>Approximate Q2 2026 remaining-position quarter-end price, not the investor's sale price.</x:v>
      </x:c>
    </x:row>
    <x:row r="35">
      <x:c r="A35" s="8" t="str">
        <x:v>AMD</x:v>
      </x:c>
      <x:c r="B35" s="8" t="str">
        <x:v>Advanced Micro Devices</x:v>
      </x:c>
      <x:c r="C35" s="8" t="str">
        <x:v>Ray Dalio / Bridgewater</x:v>
      </x:c>
      <x:c r="D35" s="8" t="str">
        <x:v>Bridgewater Associates</x:v>
      </x:c>
      <x:c r="E35" s="8" t="str">
        <x:v>Reduce</x:v>
      </x:c>
      <x:c r="F35" s="13" t="n">
        <x:v>0.011699999999999999</x:v>
      </x:c>
      <x:c r="G35" s="13" t="n">
        <x:v>0.0128</x:v>
      </x:c>
      <x:c r="H35" s="14" t="n">
        <x:v>1292767</x:v>
      </x:c>
      <x:c r="I35" s="14" t="n">
        <x:v>538632</x:v>
      </x:c>
      <x:c r="J35" s="15" t="n">
        <x:v>-0.5833495130986481</x:v>
      </x:c>
      <x:c r="K35" s="8" t="str">
        <x:v>Q2 2026 vs Q1 2026</x:v>
      </x:c>
      <x:c r="L35" s="8" t="str">
        <x:v>~$581</x:v>
      </x:c>
      <x:c r="M35" s="8" t="str">
        <x:v>Approximate Q2 2026 remaining-position quarter-end price, not the investor's sale price.</x:v>
      </x:c>
    </x:row>
    <x:row r="36">
      <x:c r="A36" s="8" t="str">
        <x:v>AAPL</x:v>
      </x:c>
      <x:c r="B36" s="8" t="str">
        <x:v>Apple</x:v>
      </x:c>
      <x:c r="C36" s="8" t="str">
        <x:v>Joel Greenblatt</x:v>
      </x:c>
      <x:c r="D36" s="8" t="str">
        <x:v>Gotham Asset Management</x:v>
      </x:c>
      <x:c r="E36" s="8" t="str">
        <x:v>Reduce</x:v>
      </x:c>
      <x:c r="F36" s="13" t="n">
        <x:v>0.0223</x:v>
      </x:c>
      <x:c r="G36" s="13" t="n">
        <x:v>0.019299999999999998</x:v>
      </x:c>
      <x:c r="H36" s="14" t="n">
        <x:v>2873250</x:v>
      </x:c>
      <x:c r="I36" s="14" t="n">
        <x:v>2860500</x:v>
      </x:c>
      <x:c r="J36" s="15" t="n">
        <x:v>-0.004437483685721757</x:v>
      </x:c>
      <x:c r="K36" s="8" t="str">
        <x:v>Q2 2026 vs Q1 2026</x:v>
      </x:c>
      <x:c r="L36" s="8" t="str">
        <x:v>~$289</x:v>
      </x:c>
      <x:c r="M36" s="8" t="str">
        <x:v>Approximate Q2 2026 remaining-position quarter-end price, not the investor's sale price.</x:v>
      </x:c>
    </x:row>
    <x:row r="37">
      <x:c r="A37" s="8" t="str">
        <x:v>AVGO</x:v>
      </x:c>
      <x:c r="B37" s="8" t="str">
        <x:v>Broadcom</x:v>
      </x:c>
      <x:c r="C37" s="8" t="str">
        <x:v>Ray Dalio / Bridgewater</x:v>
      </x:c>
      <x:c r="D37" s="8" t="str">
        <x:v>Bridgewater Associates</x:v>
      </x:c>
      <x:c r="E37" s="8" t="str">
        <x:v>Reduce</x:v>
      </x:c>
      <x:c r="F37" s="13" t="n">
        <x:v>0.0254</x:v>
      </x:c>
      <x:c r="G37" s="13" t="n">
        <x:v>0.0204</x:v>
      </x:c>
      <x:c r="H37" s="14" t="n">
        <x:v>1835380</x:v>
      </x:c>
      <x:c r="I37" s="14" t="n">
        <x:v>1317923</x:v>
      </x:c>
      <x:c r="J37" s="15" t="n">
        <x:v>-0.28193453126872914</x:v>
      </x:c>
      <x:c r="K37" s="8" t="str">
        <x:v>Q2 2026 vs Q1 2026</x:v>
      </x:c>
      <x:c r="L37" s="8" t="str">
        <x:v>~$378</x:v>
      </x:c>
      <x:c r="M37" s="8" t="str">
        <x:v>Approximate Q2 2026 remaining-position quarter-end price, not the investor's sale price.</x:v>
      </x:c>
    </x:row>
    <x:row r="38">
      <x:c r="A38" s="8" t="str">
        <x:v>LRCX</x:v>
      </x:c>
      <x:c r="B38" s="8" t="str">
        <x:v>Lam Research</x:v>
      </x:c>
      <x:c r="C38" s="8" t="str">
        <x:v>Ray Dalio / Bridgewater</x:v>
      </x:c>
      <x:c r="D38" s="8" t="str">
        <x:v>Bridgewater Associates</x:v>
      </x:c>
      <x:c r="E38" s="8" t="str">
        <x:v>Reduce</x:v>
      </x:c>
      <x:c r="F38" s="13" t="n">
        <x:v>0.015</x:v>
      </x:c>
      <x:c r="G38" s="13" t="n">
        <x:v>0.0167</x:v>
      </x:c>
      <x:c r="H38" s="14" t="n">
        <x:v>1571229</x:v>
      </x:c>
      <x:c r="I38" s="14" t="n">
        <x:v>938224</x:v>
      </x:c>
      <x:c r="J38" s="15" t="n">
        <x:v>-0.4028725284474765</x:v>
      </x:c>
      <x:c r="K38" s="8" t="str">
        <x:v>Q2 2026 vs Q1 2026</x:v>
      </x:c>
      <x:c r="L38" s="8" t="str">
        <x:v>~$434</x:v>
      </x:c>
      <x:c r="M38" s="8" t="str">
        <x:v>Approximate Q2 2026 remaining-position quarter-end price, not the investor's sale price.</x:v>
      </x:c>
    </x:row>
    <x:row r="39">
      <x:c r="A39" s="8" t="str">
        <x:v>SNDK</x:v>
      </x:c>
      <x:c r="B39" s="8" t="str">
        <x:v>Sandisk</x:v>
      </x:c>
      <x:c r="C39" s="8" t="str">
        <x:v>David Tepper</x:v>
      </x:c>
      <x:c r="D39" s="8" t="str">
        <x:v>Appaloosa LP</x:v>
      </x:c>
      <x:c r="E39" s="8" t="str">
        <x:v>Exit</x:v>
      </x:c>
      <x:c r="F39" s="13" t="n">
        <x:v>0.0301</x:v>
      </x:c>
      <x:c r="G39" s="13" t="n">
        <x:v>0</x:v>
      </x:c>
      <x:c r="H39" s="14" t="n">
        <x:v>281250</x:v>
      </x:c>
      <x:c r="I39" s="14" t="n">
        <x:v>0</x:v>
      </x:c>
      <x:c r="J39" s="15" t="n">
        <x:v>-1</x:v>
      </x:c>
      <x:c r="K39" s="8" t="str">
        <x:v>Q2 2026 vs Q1 2026</x:v>
      </x:c>
      <x:c r="L39" s="8"/>
      <x:c r="M39" s="8" t="str">
        <x:v>No quarter-end price approximation is available for this move.</x:v>
      </x:c>
    </x:row>
    <x:row r="40">
      <x:c r="A40" s="8" t="str">
        <x:v>BAC</x:v>
      </x:c>
      <x:c r="B40" s="8" t="str">
        <x:v>Bank of America</x:v>
      </x:c>
      <x:c r="C40" s="8" t="str">
        <x:v>Warren Buffett</x:v>
      </x:c>
      <x:c r="D40" s="8" t="str">
        <x:v>Berkshire Hathaway</x:v>
      </x:c>
      <x:c r="E40" s="8" t="str">
        <x:v>Reduce</x:v>
      </x:c>
      <x:c r="F40" s="13" t="n">
        <x:v>0.09519999999999999</x:v>
      </x:c>
      <x:c r="G40" s="13" t="n">
        <x:v>0.092</x:v>
      </x:c>
      <x:c r="H40" s="14" t="n">
        <x:v>513624164.99999994</x:v>
      </x:c>
      <x:c r="I40" s="14" t="n">
        <x:v>483394015</x:v>
      </x:c>
      <x:c r="J40" s="15" t="n">
        <x:v>-0.05885655710922388</x:v>
      </x:c>
      <x:c r="K40" s="8" t="str">
        <x:v>Q2 2026 vs Q1 2026</x:v>
      </x:c>
      <x:c r="L40" s="8" t="str">
        <x:v>~$57</x:v>
      </x:c>
      <x:c r="M40" s="8" t="str">
        <x:v>Approximate Q2 2026 remaining-position quarter-end price, not the investor's sale price.</x:v>
      </x:c>
    </x:row>
    <x:row r="41">
      <x:c r="A41" s="8" t="str">
        <x:v>BAC</x:v>
      </x:c>
      <x:c r="B41" s="8" t="str">
        <x:v>Bank of America</x:v>
      </x:c>
      <x:c r="C41" s="8" t="str">
        <x:v>Li Lu</x:v>
      </x:c>
      <x:c r="D41" s="8" t="str">
        <x:v>Himalaya Capital</x:v>
      </x:c>
      <x:c r="E41" s="8" t="str">
        <x:v>Exit</x:v>
      </x:c>
      <x:c r="F41" s="13" t="n">
        <x:v>0.045700000000000005</x:v>
      </x:c>
      <x:c r="G41" s="13" t="n">
        <x:v>0</x:v>
      </x:c>
      <x:c r="H41" s="14" t="n">
        <x:v>2997987</x:v>
      </x:c>
      <x:c r="I41" s="14" t="n">
        <x:v>0</x:v>
      </x:c>
      <x:c r="J41" s="15" t="n">
        <x:v>-1</x:v>
      </x:c>
      <x:c r="K41" s="8" t="str">
        <x:v>Q2 2026 vs Q1 2026</x:v>
      </x:c>
      <x:c r="L41" s="8"/>
      <x:c r="M41" s="8" t="str">
        <x:v>No quarter-end price approximation is available for this move.</x:v>
      </x:c>
    </x:row>
    <x:row r="42">
      <x:c r="A42" s="8" t="str">
        <x:v>MU</x:v>
      </x:c>
      <x:c r="B42" s="8" t="str">
        <x:v>Micron Technology</x:v>
      </x:c>
      <x:c r="C42" s="8" t="str">
        <x:v>David Tepper</x:v>
      </x:c>
      <x:c r="D42" s="8" t="str">
        <x:v>Appaloosa LP</x:v>
      </x:c>
      <x:c r="E42" s="8" t="str">
        <x:v>Reduce</x:v>
      </x:c>
      <x:c r="F42" s="13" t="n">
        <x:v>0.09480000000000001</x:v>
      </x:c>
      <x:c r="G42" s="13" t="n">
        <x:v>0.1457</x:v>
      </x:c>
      <x:c r="H42" s="14" t="n">
        <x:v>1665000</x:v>
      </x:c>
      <x:c r="I42" s="14" t="n">
        <x:v>975000</x:v>
      </x:c>
      <x:c r="J42" s="15" t="n">
        <x:v>-0.41441441441441446</x:v>
      </x:c>
      <x:c r="K42" s="8" t="str">
        <x:v>Q2 2026 vs Q1 2026</x:v>
      </x:c>
      <x:c r="L42" s="8" t="str">
        <x:v>~$1159</x:v>
      </x:c>
      <x:c r="M42" s="8" t="str">
        <x:v>Approximate Q2 2026 remaining-position quarter-end price, not the investor's sale price.</x:v>
      </x:c>
    </x:row>
    <x:row r="43">
      <x:c r="A43" s="8" t="str">
        <x:v>MU</x:v>
      </x:c>
      <x:c r="B43" s="8" t="str">
        <x:v>Micron Technology</x:v>
      </x:c>
      <x:c r="C43" s="8" t="str">
        <x:v>Ray Dalio / Bridgewater</x:v>
      </x:c>
      <x:c r="D43" s="8" t="str">
        <x:v>Bridgewater Associates</x:v>
      </x:c>
      <x:c r="E43" s="8" t="str">
        <x:v>Reduce</x:v>
      </x:c>
      <x:c r="F43" s="13" t="n">
        <x:v>0.0223</x:v>
      </x:c>
      <x:c r="G43" s="13" t="n">
        <x:v>0.0055000000000000005</x:v>
      </x:c>
      <x:c r="H43" s="14" t="n">
        <x:v>1475704</x:v>
      </x:c>
      <x:c r="I43" s="14" t="n">
        <x:v>116666</x:v>
      </x:c>
      <x:c r="J43" s="15" t="n">
        <x:v>-0.9209421401581889</x:v>
      </x:c>
      <x:c r="K43" s="8" t="str">
        <x:v>Q2 2026 vs Q1 2026</x:v>
      </x:c>
      <x:c r="L43" s="8"/>
      <x:c r="M43" s="8" t="str">
        <x:v>No quarter-end price approximation is available for this move.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8000020980835" hidden="0" customWidth="1"/>
    <x:col min="2" max="2" width="14.779999732971191" hidden="0" customWidth="1"/>
    <x:col min="3" max="3" width="50" hidden="0" customWidth="1"/>
    <x:col min="4" max="4" width="8.779999732971191" hidden="0" customWidth="1"/>
    <x:col min="5" max="5" width="13.329999923706055" hidden="0" customWidth="1"/>
    <x:col min="6" max="6" width="6.329999923706055" hidden="0" customWidth="1"/>
    <x:col min="7" max="7" width="8.779999732971191" hidden="0" customWidth="1"/>
    <x:col min="8" max="8" width="7.110000133514404" hidden="0" customWidth="1"/>
    <x:col min="9" max="9" width="12.4399995803833" hidden="0" customWidth="1"/>
    <x:col min="10" max="10" width="7.670000076293945" hidden="0" customWidth="1"/>
    <x:col min="11" max="11" width="11.4399995803833" hidden="0" customWidth="1"/>
    <x:col min="12" max="12" width="5.670000076293945" hidden="0" customWidth="1"/>
    <x:col min="13" max="13" width="5.559999942779541" hidden="0" customWidth="1"/>
    <x:col min="14" max="14" width="6.110000133514404" hidden="0" customWidth="1"/>
    <x:col min="15" max="15" width="60" hidden="0" customWidth="1"/>
  </x:cols>
  <x:sheetData>
    <x:row r="1" ht="36" customHeight="1">
      <x:c r="A1" s="12" t="str">
        <x:v>Ticker</x:v>
      </x:c>
      <x:c r="B1" s="12" t="str">
        <x:v>Company</x:v>
      </x:c>
      <x:c r="C1" s="12" t="str">
        <x:v>What the company does</x:v>
      </x:c>
      <x:c r="D1" s="12" t="str">
        <x:v>Shares</x:v>
      </x:c>
      <x:c r="E1" s="12" t="str">
        <x:v>Average Unit Cost</x:v>
      </x:c>
      <x:c r="F1" s="12" t="str">
        <x:v>Price</x:v>
      </x:c>
      <x:c r="G1" s="12" t="str">
        <x:v>Total Equity</x:v>
      </x:c>
      <x:c r="H1" s="12" t="str">
        <x:v>P/E Ratio</x:v>
      </x:c>
      <x:c r="I1" s="12" t="str">
        <x:v>Portfolio Percent</x:v>
      </x:c>
      <x:c r="J1" s="12" t="str">
        <x:v>Total Cost</x:v>
      </x:c>
      <x:c r="K1" s="12" t="str">
        <x:v>Total Gain/Loss</x:v>
      </x:c>
      <x:c r="L1" s="12" t="str">
        <x:v>% Gain</x:v>
      </x:c>
      <x:c r="M1" s="12" t="str">
        <x:v>Action</x:v>
      </x:c>
      <x:c r="N1" s="12" t="str">
        <x:v>Quarter</x:v>
      </x:c>
      <x:c r="O1" s="12" t="str">
        <x:v>Source / Notes</x:v>
      </x:c>
    </x:row>
    <x:row r="2">
      <x:c r="A2" s="8" t="str">
        <x:v>AAPL</x:v>
      </x:c>
      <x:c r="B2" s="8" t="str">
        <x:v>Apple</x:v>
      </x:c>
      <x:c r="C2" s="8" t="str">
        <x:v>Apple designs iPhones, Macs, iPads, wearables, and services around its consumer technology ecosystem.</x:v>
      </x:c>
      <x:c r="D2" s="14" t="n">
        <x:v>227917808</x:v>
      </x:c>
      <x:c r="E2" s="18"/>
      <x:c r="F2" s="19" t="e">
        <x:f>GOOGLEFINANCE("AAPL","price")</x:f>
        <x:v>#NAME?</x:v>
      </x:c>
      <x:c r="G2" s="19" t="str">
        <x:f>IFERROR(D2*F2,"")</x:f>
      </x:c>
      <x:c r="H2" s="20" t="e">
        <x:f>GOOGLEFINANCE("AAPL","pe")</x:f>
        <x:v>#NAME?</x:v>
      </x:c>
      <x:c r="I2" s="13" t="n">
        <x:v>0.22039999999999998</x:v>
      </x:c>
      <x:c r="J2" s="21" t="n">
        <x:f>IFERROR(D2*E2,"")</x:f>
        <x:v>0</x:v>
      </x:c>
      <x:c r="K2" s="21" t="n">
        <x:f>IFERROR(G2-J2,"")</x:f>
        <x:v>0</x:v>
      </x:c>
      <x:c r="L2" s="22" t="str">
        <x:f>IFERROR(K2/J2,"")</x:f>
      </x:c>
      <x:c r="M2" s="8" t="str">
        <x:v>Hold</x:v>
      </x:c>
      <x:c r="N2" s="8" t="str">
        <x:v>Q2 2026</x:v>
      </x:c>
      <x:c r="O2" s="8" t="str">
        <x:v>Hold is based on the reported share-count change from the preceding 13-F. The filing does not disclose the investor's thesis or exact trade price.</x:v>
      </x:c>
    </x:row>
    <x:row r="3">
      <x:c r="A3" s="8" t="str">
        <x:v>AXP</x:v>
      </x:c>
      <x:c r="B3" s="8" t="str">
        <x:v>American Express</x:v>
      </x:c>
      <x:c r="C3" s="8" t="str">
        <x:v>American Express operates in the Financials sector. Review company filings for a precise business description.</x:v>
      </x:c>
      <x:c r="D3" s="14" t="n">
        <x:v>151610700</x:v>
      </x:c>
      <x:c r="E3" s="18"/>
      <x:c r="F3" s="19" t="e">
        <x:f>GOOGLEFINANCE("AXP","price")</x:f>
        <x:v>#NAME?</x:v>
      </x:c>
      <x:c r="G3" s="19" t="str">
        <x:f>IFERROR(D3*F3,"")</x:f>
      </x:c>
      <x:c r="H3" s="20" t="e">
        <x:f>GOOGLEFINANCE("AXP","pe")</x:f>
        <x:v>#NAME?</x:v>
      </x:c>
      <x:c r="I3" s="13" t="n">
        <x:v>0.1714</x:v>
      </x:c>
      <x:c r="J3" s="21" t="n">
        <x:f>IFERROR(D3*E3,"")</x:f>
        <x:v>0</x:v>
      </x:c>
      <x:c r="K3" s="21" t="n">
        <x:f>IFERROR(G3-J3,"")</x:f>
        <x:v>0</x:v>
      </x:c>
      <x:c r="L3" s="22" t="str">
        <x:f>IFERROR(K3/J3,"")</x:f>
      </x:c>
      <x:c r="M3" s="8" t="str">
        <x:v>Hold</x:v>
      </x:c>
      <x:c r="N3" s="8" t="str">
        <x:v>Q2 2026</x:v>
      </x:c>
      <x:c r="O3" s="8" t="str">
        <x:v>Hold is based on the reported share-count change from the preceding 13-F. The filing does not disclose the investor's thesis or exact trade price.</x:v>
      </x:c>
    </x:row>
    <x:row r="4">
      <x:c r="A4" s="8" t="str">
        <x:v>KO</x:v>
      </x:c>
      <x:c r="B4" s="8" t="str">
        <x:v>Coca-Cola</x:v>
      </x:c>
      <x:c r="C4" s="8" t="str">
        <x:v>Coca-Cola operates in the Consumer Staples sector. Review company filings for a precise business description.</x:v>
      </x:c>
      <x:c r="D4" s="14" t="n">
        <x:v>400000000</x:v>
      </x:c>
      <x:c r="E4" s="18"/>
      <x:c r="F4" s="19" t="e">
        <x:f>GOOGLEFINANCE("KO","price")</x:f>
        <x:v>#NAME?</x:v>
      </x:c>
      <x:c r="G4" s="19" t="str">
        <x:f>IFERROR(D4*F4,"")</x:f>
      </x:c>
      <x:c r="H4" s="20" t="e">
        <x:f>GOOGLEFINANCE("KO","pe")</x:f>
        <x:v>#NAME?</x:v>
      </x:c>
      <x:c r="I4" s="13" t="n">
        <x:v>0.10859999999999999</x:v>
      </x:c>
      <x:c r="J4" s="21" t="n">
        <x:f>IFERROR(D4*E4,"")</x:f>
        <x:v>0</x:v>
      </x:c>
      <x:c r="K4" s="21" t="n">
        <x:f>IFERROR(G4-J4,"")</x:f>
        <x:v>0</x:v>
      </x:c>
      <x:c r="L4" s="22" t="str">
        <x:f>IFERROR(K4/J4,"")</x:f>
      </x:c>
      <x:c r="M4" s="8" t="str">
        <x:v>Hold</x:v>
      </x:c>
      <x:c r="N4" s="8" t="str">
        <x:v>Q2 2026</x:v>
      </x:c>
      <x:c r="O4" s="8" t="str">
        <x:v>Hold is based on the reported share-count change from the preceding 13-F. The filing does not disclose the investor's thesis or exact trade price.</x:v>
      </x:c>
    </x:row>
    <x:row r="5">
      <x:c r="A5" s="8" t="str">
        <x:v>GOOGL</x:v>
      </x:c>
      <x:c r="B5" s="8" t="str">
        <x:v>Alphabet Class A</x:v>
      </x:c>
      <x:c r="C5" s="8" t="str">
        <x:v>Alphabet Class A represents Alphabet, parent of Google Search, YouTube, Google Cloud, Android, and AI assets.</x:v>
      </x:c>
      <x:c r="D5" s="14" t="n">
        <x:v>78791167</x:v>
      </x:c>
      <x:c r="E5" s="18"/>
      <x:c r="F5" s="19" t="e">
        <x:f>GOOGLEFINANCE("GOOGL","price")</x:f>
        <x:v>#NAME?</x:v>
      </x:c>
      <x:c r="G5" s="19" t="str">
        <x:f>IFERROR(D5*F5,"")</x:f>
      </x:c>
      <x:c r="H5" s="20" t="e">
        <x:f>GOOGLEFINANCE("GOOGL","pe")</x:f>
        <x:v>#NAME?</x:v>
      </x:c>
      <x:c r="I5" s="13" t="n">
        <x:v>0.0941</x:v>
      </x:c>
      <x:c r="J5" s="21" t="n">
        <x:f>IFERROR(D5*E5,"")</x:f>
        <x:v>0</x:v>
      </x:c>
      <x:c r="K5" s="21" t="n">
        <x:f>IFERROR(G5-J5,"")</x:f>
        <x:v>0</x:v>
      </x:c>
      <x:c r="L5" s="22" t="str">
        <x:f>IFERROR(K5/J5,"")</x:f>
      </x:c>
      <x:c r="M5" s="8" t="str">
        <x:v>Add</x:v>
      </x:c>
      <x:c r="N5" s="8" t="str">
        <x:v>Q2 2026</x:v>
      </x:c>
      <x:c r="O5" s="8" t="str">
        <x:v>Add is based on the reported share-count change from the preceding 13-F. The filing does not disclose the investor's thesis or exact trade price.</x:v>
      </x:c>
    </x:row>
    <x:row r="6">
      <x:c r="A6" s="8" t="str">
        <x:v>BAC</x:v>
      </x:c>
      <x:c r="B6" s="8" t="str">
        <x:v>Bank of America</x:v>
      </x:c>
      <x:c r="C6" s="8" t="str">
        <x:v>Bank of America provides consumer banking, commercial banking, wealth management, and capital markets services.</x:v>
      </x:c>
      <x:c r="D6" s="14" t="n">
        <x:v>483394015</x:v>
      </x:c>
      <x:c r="E6" s="18"/>
      <x:c r="F6" s="19" t="e">
        <x:f>GOOGLEFINANCE("BAC","price")</x:f>
        <x:v>#NAME?</x:v>
      </x:c>
      <x:c r="G6" s="19" t="str">
        <x:f>IFERROR(D6*F6,"")</x:f>
      </x:c>
      <x:c r="H6" s="20" t="e">
        <x:f>GOOGLEFINANCE("BAC","pe")</x:f>
        <x:v>#NAME?</x:v>
      </x:c>
      <x:c r="I6" s="13" t="n">
        <x:v>0.092</x:v>
      </x:c>
      <x:c r="J6" s="21" t="n">
        <x:f>IFERROR(D6*E6,"")</x:f>
        <x:v>0</x:v>
      </x:c>
      <x:c r="K6" s="21" t="n">
        <x:f>IFERROR(G6-J6,"")</x:f>
        <x:v>0</x:v>
      </x:c>
      <x:c r="L6" s="22" t="str">
        <x:f>IFERROR(K6/J6,"")</x:f>
      </x:c>
      <x:c r="M6" s="8" t="str">
        <x:v>Reduce</x:v>
      </x:c>
      <x:c r="N6" s="8" t="str">
        <x:v>Q2 2026</x:v>
      </x:c>
      <x:c r="O6" s="8" t="str">
        <x:v>Reduce is based on the reported share-count change from the preceding 13-F. The filing does not disclose the investor's thesis or exact trade price.</x:v>
      </x:c>
    </x:row>
    <x:row r="7">
      <x:c r="A7" s="8" t="str">
        <x:v>CVX</x:v>
      </x:c>
      <x:c r="B7" s="8" t="str">
        <x:v>Chevron</x:v>
      </x:c>
      <x:c r="C7" s="8" t="str">
        <x:v>Chevron operates in the Energy sector. Review company filings for a precise business description.</x:v>
      </x:c>
      <x:c r="D7" s="14" t="n">
        <x:v>84375856</x:v>
      </x:c>
      <x:c r="E7" s="18"/>
      <x:c r="F7" s="19" t="e">
        <x:f>GOOGLEFINANCE("CVX","price")</x:f>
        <x:v>#NAME?</x:v>
      </x:c>
      <x:c r="G7" s="19" t="str">
        <x:f>IFERROR(D7*F7,"")</x:f>
      </x:c>
      <x:c r="H7" s="20" t="e">
        <x:f>GOOGLEFINANCE("CVX","pe")</x:f>
        <x:v>#NAME?</x:v>
      </x:c>
      <x:c r="I7" s="13" t="n">
        <x:v>0.0467</x:v>
      </x:c>
      <x:c r="J7" s="21" t="n">
        <x:f>IFERROR(D7*E7,"")</x:f>
        <x:v>0</x:v>
      </x:c>
      <x:c r="K7" s="21" t="n">
        <x:f>IFERROR(G7-J7,"")</x:f>
        <x:v>0</x:v>
      </x:c>
      <x:c r="L7" s="22" t="str">
        <x:f>IFERROR(K7/J7,"")</x:f>
      </x:c>
      <x:c r="M7" s="8" t="str">
        <x:v>Hold</x:v>
      </x:c>
      <x:c r="N7" s="8" t="str">
        <x:v>Q2 2026</x:v>
      </x:c>
      <x:c r="O7" s="8" t="str">
        <x:v>Hold is based on the reported share-count change from the preceding 13-F. The filing does not disclose the investor's thesis or exact trade price.</x:v>
      </x:c>
    </x:row>
    <x:row r="8">
      <x:c r="A8" s="8" t="str">
        <x:v>OXY</x:v>
      </x:c>
      <x:c r="B8" s="8" t="str">
        <x:v>Occidental Petroleum</x:v>
      </x:c>
      <x:c r="C8" s="8" t="str">
        <x:v>Occidental Petroleum explores, produces, and markets oil, gas, chemicals, and low-carbon technologies.</x:v>
      </x:c>
      <x:c r="D8" s="14" t="n">
        <x:v>264941431.00000003</x:v>
      </x:c>
      <x:c r="E8" s="18"/>
      <x:c r="F8" s="19" t="e">
        <x:f>GOOGLEFINANCE("OXY","price")</x:f>
        <x:v>#NAME?</x:v>
      </x:c>
      <x:c r="G8" s="19" t="str">
        <x:f>IFERROR(D8*F8,"")</x:f>
      </x:c>
      <x:c r="H8" s="20" t="e">
        <x:f>GOOGLEFINANCE("OXY","pe")</x:f>
        <x:v>#NAME?</x:v>
      </x:c>
      <x:c r="I8" s="13" t="n">
        <x:v>0.043</x:v>
      </x:c>
      <x:c r="J8" s="21" t="n">
        <x:f>IFERROR(D8*E8,"")</x:f>
        <x:v>0</x:v>
      </x:c>
      <x:c r="K8" s="21" t="n">
        <x:f>IFERROR(G8-J8,"")</x:f>
        <x:v>0</x:v>
      </x:c>
      <x:c r="L8" s="22" t="str">
        <x:f>IFERROR(K8/J8,"")</x:f>
      </x:c>
      <x:c r="M8" s="8" t="str">
        <x:v>Hold</x:v>
      </x:c>
      <x:c r="N8" s="8" t="str">
        <x:v>Q2 2026</x:v>
      </x:c>
      <x:c r="O8" s="8" t="str">
        <x:v>Hold is based on the reported share-count change from the preceding 13-F. The filing does not disclose the investor's thesis or exact trade price.</x:v>
      </x:c>
    </x:row>
    <x:row r="9">
      <x:c r="A9" s="8" t="str">
        <x:v>CB</x:v>
      </x:c>
      <x:c r="B9" s="8" t="str">
        <x:v>Chubb</x:v>
      </x:c>
      <x:c r="C9" s="8" t="str">
        <x:v>Chubb operates in the Financials sector. Review company filings for a precise business description.</x:v>
      </x:c>
      <x:c r="D9" s="14" t="n">
        <x:v>34249183</x:v>
      </x:c>
      <x:c r="E9" s="18"/>
      <x:c r="F9" s="19" t="e">
        <x:f>GOOGLEFINANCE("CB","price")</x:f>
        <x:v>#NAME?</x:v>
      </x:c>
      <x:c r="G9" s="19" t="str">
        <x:f>IFERROR(D9*F9,"")</x:f>
      </x:c>
      <x:c r="H9" s="20" t="e">
        <x:f>GOOGLEFINANCE("CB","pe")</x:f>
        <x:v>#NAME?</x:v>
      </x:c>
      <x:c r="I9" s="13" t="n">
        <x:v>0.039</x:v>
      </x:c>
      <x:c r="J9" s="21" t="n">
        <x:f>IFERROR(D9*E9,"")</x:f>
        <x:v>0</x:v>
      </x:c>
      <x:c r="K9" s="21" t="n">
        <x:f>IFERROR(G9-J9,"")</x:f>
        <x:v>0</x:v>
      </x:c>
      <x:c r="L9" s="22" t="str">
        <x:f>IFERROR(K9/J9,"")</x:f>
      </x:c>
      <x:c r="M9" s="8" t="str">
        <x:v>Hold</x:v>
      </x:c>
      <x:c r="N9" s="8" t="str">
        <x:v>Q2 2026</x:v>
      </x:c>
      <x:c r="O9" s="8" t="str">
        <x:v>Hold is based on the reported share-count change from the preceding 13-F. The filing does not disclose the investor's thesis or exact trade price.</x:v>
      </x:c>
    </x:row>
    <x:row r="10">
      <x:c r="A10" s="8" t="str">
        <x:v>MCO</x:v>
      </x:c>
      <x:c r="B10" s="8" t="str">
        <x:v>Moody's</x:v>
      </x:c>
      <x:c r="C10" s="8" t="str">
        <x:v>Moody's operates in the Financials sector. Review company filings for a precise business description.</x:v>
      </x:c>
      <x:c r="D10" s="14" t="n">
        <x:v>24669778</x:v>
      </x:c>
      <x:c r="E10" s="18"/>
      <x:c r="F10" s="19" t="e">
        <x:f>GOOGLEFINANCE("MCO","price")</x:f>
        <x:v>#NAME?</x:v>
      </x:c>
      <x:c r="G10" s="19" t="str">
        <x:f>IFERROR(D10*F10,"")</x:f>
      </x:c>
      <x:c r="H10" s="20" t="e">
        <x:f>GOOGLEFINANCE("MCO","pe")</x:f>
        <x:v>#NAME?</x:v>
      </x:c>
      <x:c r="I10" s="13" t="n">
        <x:v>0.0373</x:v>
      </x:c>
      <x:c r="J10" s="21" t="n">
        <x:f>IFERROR(D10*E10,"")</x:f>
        <x:v>0</x:v>
      </x:c>
      <x:c r="K10" s="21" t="n">
        <x:f>IFERROR(G10-J10,"")</x:f>
        <x:v>0</x:v>
      </x:c>
      <x:c r="L10" s="22" t="str">
        <x:f>IFERROR(K10/J10,"")</x:f>
      </x:c>
      <x:c r="M10" s="8" t="str">
        <x:v>Hold</x:v>
      </x:c>
      <x:c r="N10" s="8" t="str">
        <x:v>Q2 2026</x:v>
      </x:c>
      <x:c r="O10" s="8" t="str">
        <x:v>Hold is based on the reported share-count change from the preceding 13-F. The filing does not disclose the investor's thesis or exact trade price.</x:v>
      </x:c>
    </x:row>
    <x:row r="11">
      <x:c r="A11" s="8" t="str">
        <x:v>GOOG</x:v>
      </x:c>
      <x:c r="B11" s="8" t="str">
        <x:v>Alphabet Class C</x:v>
      </x:c>
      <x:c r="C11" s="8" t="str">
        <x:v>Alphabet Class C represents Alphabet, parent of Google Search, YouTube, Google Cloud, Android, and AI assets.</x:v>
      </x:c>
      <x:c r="D11" s="14" t="n">
        <x:v>27188433</x:v>
      </x:c>
      <x:c r="E11" s="18"/>
      <x:c r="F11" s="19" t="e">
        <x:f>GOOGLEFINANCE("GOOG","price")</x:f>
        <x:v>#NAME?</x:v>
      </x:c>
      <x:c r="G11" s="19" t="str">
        <x:f>IFERROR(D11*F11,"")</x:f>
      </x:c>
      <x:c r="H11" s="20" t="e">
        <x:f>GOOGLEFINANCE("GOOG","pe")</x:f>
        <x:v>#NAME?</x:v>
      </x:c>
      <x:c r="I11" s="13" t="n">
        <x:v>0.0321</x:v>
      </x:c>
      <x:c r="J11" s="21" t="n">
        <x:f>IFERROR(D11*E11,"")</x:f>
        <x:v>0</x:v>
      </x:c>
      <x:c r="K11" s="21" t="n">
        <x:f>IFERROR(G11-J11,"")</x:f>
        <x:v>0</x:v>
      </x:c>
      <x:c r="L11" s="22" t="str">
        <x:f>IFERROR(K11/J11,"")</x:f>
      </x:c>
      <x:c r="M11" s="8" t="str">
        <x:v>Add</x:v>
      </x:c>
      <x:c r="N11" s="8" t="str">
        <x:v>Q2 2026</x:v>
      </x:c>
      <x:c r="O11" s="8" t="str">
        <x:v>Add is based on the reported share-count change from the preceding 13-F. The filing does not disclose the investor's thesis or exact trade price.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21.219999313354492" hidden="0" customWidth="1"/>
    <x:col min="3" max="3" width="50" hidden="0" customWidth="1"/>
    <x:col min="4" max="4" width="7.110000133514404" hidden="0" customWidth="1"/>
    <x:col min="5" max="5" width="13.329999923706055" hidden="0" customWidth="1"/>
    <x:col min="6" max="6" width="6.329999923706055" hidden="0" customWidth="1"/>
    <x:col min="7" max="7" width="8.779999732971191" hidden="0" customWidth="1"/>
    <x:col min="8" max="8" width="7.110000133514404" hidden="0" customWidth="1"/>
    <x:col min="9" max="9" width="12.4399995803833" hidden="0" customWidth="1"/>
    <x:col min="10" max="10" width="7.670000076293945" hidden="0" customWidth="1"/>
    <x:col min="11" max="11" width="11.4399995803833" hidden="0" customWidth="1"/>
    <x:col min="12" max="12" width="5.670000076293945" hidden="0" customWidth="1"/>
    <x:col min="13" max="13" width="5.559999942779541" hidden="0" customWidth="1"/>
    <x:col min="14" max="14" width="6.110000133514404" hidden="0" customWidth="1"/>
    <x:col min="15" max="15" width="60" hidden="0" customWidth="1"/>
  </x:cols>
  <x:sheetData>
    <x:row r="1" ht="36" customHeight="1">
      <x:c r="A1" s="12" t="str">
        <x:v>Ticker</x:v>
      </x:c>
      <x:c r="B1" s="12" t="str">
        <x:v>Company</x:v>
      </x:c>
      <x:c r="C1" s="12" t="str">
        <x:v>What the company does</x:v>
      </x:c>
      <x:c r="D1" s="12" t="str">
        <x:v>Shares</x:v>
      </x:c>
      <x:c r="E1" s="12" t="str">
        <x:v>Average Unit Cost</x:v>
      </x:c>
      <x:c r="F1" s="12" t="str">
        <x:v>Price</x:v>
      </x:c>
      <x:c r="G1" s="12" t="str">
        <x:v>Total Equity</x:v>
      </x:c>
      <x:c r="H1" s="12" t="str">
        <x:v>P/E Ratio</x:v>
      </x:c>
      <x:c r="I1" s="12" t="str">
        <x:v>Portfolio Percent</x:v>
      </x:c>
      <x:c r="J1" s="12" t="str">
        <x:v>Total Cost</x:v>
      </x:c>
      <x:c r="K1" s="12" t="str">
        <x:v>Total Gain/Loss</x:v>
      </x:c>
      <x:c r="L1" s="12" t="str">
        <x:v>% Gain</x:v>
      </x:c>
      <x:c r="M1" s="12" t="str">
        <x:v>Action</x:v>
      </x:c>
      <x:c r="N1" s="12" t="str">
        <x:v>Quarter</x:v>
      </x:c>
      <x:c r="O1" s="12" t="str">
        <x:v>Source / Notes</x:v>
      </x:c>
    </x:row>
    <x:row r="2">
      <x:c r="A2" s="8" t="str">
        <x:v>AMZN</x:v>
      </x:c>
      <x:c r="B2" s="8" t="str">
        <x:v>Amazon</x:v>
      </x:c>
      <x:c r="C2" s="8" t="str">
        <x:v>Amazon operates e-commerce, logistics, advertising, subscriptions, and AWS cloud infrastructure.</x:v>
      </x:c>
      <x:c r="D2" s="14" t="n">
        <x:v>5000000</x:v>
      </x:c>
      <x:c r="E2" s="18"/>
      <x:c r="F2" s="19" t="e">
        <x:f>GOOGLEFINANCE("AMZN","price")</x:f>
        <x:v>#NAME?</x:v>
      </x:c>
      <x:c r="G2" s="19" t="str">
        <x:f>IFERROR(D2*F2,"")</x:f>
      </x:c>
      <x:c r="H2" s="20" t="e">
        <x:f>GOOGLEFINANCE("AMZN","pe")</x:f>
        <x:v>#NAME?</x:v>
      </x:c>
      <x:c r="I2" s="13" t="n">
        <x:v>0.1543</x:v>
      </x:c>
      <x:c r="J2" s="21" t="n">
        <x:f>IFERROR(D2*E2,"")</x:f>
        <x:v>0</x:v>
      </x:c>
      <x:c r="K2" s="21" t="n">
        <x:f>IFERROR(G2-J2,"")</x:f>
        <x:v>0</x:v>
      </x:c>
      <x:c r="L2" s="22" t="str">
        <x:f>IFERROR(K2/J2,"")</x:f>
      </x:c>
      <x:c r="M2" s="8" t="str">
        <x:v>Add</x:v>
      </x:c>
      <x:c r="N2" s="8" t="str">
        <x:v>Q2 2026</x:v>
      </x:c>
      <x:c r="O2" s="8" t="str">
        <x:v>Reported position increased by 680,000 shares. A 13-F does not disclose Tepper's investment rationale.</x:v>
      </x:c>
    </x:row>
    <x:row r="3">
      <x:c r="A3" s="8" t="str">
        <x:v>MU</x:v>
      </x:c>
      <x:c r="B3" s="8" t="str">
        <x:v>Micron Technology</x:v>
      </x:c>
      <x:c r="C3" s="8" t="str">
        <x:v>Micron Technology operates in the Technology sector. Review company filings for a precise business description.</x:v>
      </x:c>
      <x:c r="D3" s="14" t="n">
        <x:v>975000</x:v>
      </x:c>
      <x:c r="E3" s="18"/>
      <x:c r="F3" s="19" t="e">
        <x:f>GOOGLEFINANCE("MU","price")</x:f>
        <x:v>#NAME?</x:v>
      </x:c>
      <x:c r="G3" s="19" t="str">
        <x:f>IFERROR(D3*F3,"")</x:f>
      </x:c>
      <x:c r="H3" s="20" t="e">
        <x:f>GOOGLEFINANCE("MU","pe")</x:f>
        <x:v>#NAME?</x:v>
      </x:c>
      <x:c r="I3" s="13" t="n">
        <x:v>0.1457</x:v>
      </x:c>
      <x:c r="J3" s="21" t="n">
        <x:f>IFERROR(D3*E3,"")</x:f>
        <x:v>0</x:v>
      </x:c>
      <x:c r="K3" s="21" t="n">
        <x:f>IFERROR(G3-J3,"")</x:f>
        <x:v>0</x:v>
      </x:c>
      <x:c r="L3" s="22" t="str">
        <x:f>IFERROR(K3/J3,"")</x:f>
      </x:c>
      <x:c r="M3" s="8" t="str">
        <x:v>Reduce</x:v>
      </x:c>
      <x:c r="N3" s="8" t="str">
        <x:v>Q2 2026</x:v>
      </x:c>
      <x:c r="O3" s="8" t="str">
        <x:v>Reported position decreased by 690,000 shares but remained the second-largest disclosed position.</x:v>
      </x:c>
    </x:row>
    <x:row r="4">
      <x:c r="A4" s="8" t="str">
        <x:v>TSM</x:v>
      </x:c>
      <x:c r="B4" s="8" t="str">
        <x:v>Taiwan Semiconductor</x:v>
      </x:c>
      <x:c r="C4" s="8" t="str">
        <x:v>Taiwan Semiconductor operates in the Technology sector. Review company filings for a precise business description.</x:v>
      </x:c>
      <x:c r="D4" s="14" t="n">
        <x:v>1650000</x:v>
      </x:c>
      <x:c r="E4" s="18"/>
      <x:c r="F4" s="19" t="e">
        <x:f>GOOGLEFINANCE("TSM","price")</x:f>
        <x:v>#NAME?</x:v>
      </x:c>
      <x:c r="G4" s="19" t="str">
        <x:f>IFERROR(D4*F4,"")</x:f>
      </x:c>
      <x:c r="H4" s="20" t="e">
        <x:f>GOOGLEFINANCE("TSM","pe")</x:f>
        <x:v>#NAME?</x:v>
      </x:c>
      <x:c r="I4" s="13" t="n">
        <x:v>0.102</x:v>
      </x:c>
      <x:c r="J4" s="21" t="n">
        <x:f>IFERROR(D4*E4,"")</x:f>
        <x:v>0</x:v>
      </x:c>
      <x:c r="K4" s="21" t="n">
        <x:f>IFERROR(G4-J4,"")</x:f>
        <x:v>0</x:v>
      </x:c>
      <x:c r="L4" s="22" t="str">
        <x:f>IFERROR(K4/J4,"")</x:f>
      </x:c>
      <x:c r="M4" s="8" t="str">
        <x:v>Add</x:v>
      </x:c>
      <x:c r="N4" s="8" t="str">
        <x:v>Q2 2026</x:v>
      </x:c>
      <x:c r="O4" s="8" t="str">
        <x:v>Reported position increased by 322,500 shares. The filing reports ownership, not the underlying thesis.</x:v>
      </x:c>
    </x:row>
    <x:row r="5">
      <x:c r="A5" s="8" t="str">
        <x:v>GOOG</x:v>
      </x:c>
      <x:c r="B5" s="8" t="str">
        <x:v>Alphabet</x:v>
      </x:c>
      <x:c r="C5" s="8" t="str">
        <x:v>Alphabet Class C represents Alphabet, parent of Google Search, YouTube, Google Cloud, Android, and AI assets.</x:v>
      </x:c>
      <x:c r="D5" s="14" t="n">
        <x:v>1850000</x:v>
      </x:c>
      <x:c r="E5" s="18"/>
      <x:c r="F5" s="19" t="e">
        <x:f>GOOGLEFINANCE("GOOG","price")</x:f>
        <x:v>#NAME?</x:v>
      </x:c>
      <x:c r="G5" s="19" t="str">
        <x:f>IFERROR(D5*F5,"")</x:f>
      </x:c>
      <x:c r="H5" s="20" t="e">
        <x:f>GOOGLEFINANCE("GOOG","pe")</x:f>
        <x:v>#NAME?</x:v>
      </x:c>
      <x:c r="I5" s="13" t="n">
        <x:v>0.08460000000000001</x:v>
      </x:c>
      <x:c r="J5" s="21" t="n">
        <x:f>IFERROR(D5*E5,"")</x:f>
        <x:v>0</x:v>
      </x:c>
      <x:c r="K5" s="21" t="n">
        <x:f>IFERROR(G5-J5,"")</x:f>
        <x:v>0</x:v>
      </x:c>
      <x:c r="L5" s="22" t="str">
        <x:f>IFERROR(K5/J5,"")</x:f>
      </x:c>
      <x:c r="M5" s="8" t="str">
        <x:v>Add</x:v>
      </x:c>
      <x:c r="N5" s="8" t="str">
        <x:v>Q2 2026</x:v>
      </x:c>
      <x:c r="O5" s="8" t="str">
        <x:v>Reported position increased by 117,300 shares.</x:v>
      </x:c>
    </x:row>
    <x:row r="6">
      <x:c r="A6" s="8" t="str">
        <x:v>UBER</x:v>
      </x:c>
      <x:c r="B6" s="8" t="str">
        <x:v>Uber Technologies</x:v>
      </x:c>
      <x:c r="C6" s="8" t="str">
        <x:v>Uber operates mobility, delivery, and freight marketplaces using a global logistics and consumer network.</x:v>
      </x:c>
      <x:c r="D6" s="14" t="n">
        <x:v>7694071</x:v>
      </x:c>
      <x:c r="E6" s="18"/>
      <x:c r="F6" s="19" t="e">
        <x:f>GOOGLEFINANCE("UBER","price")</x:f>
        <x:v>#NAME?</x:v>
      </x:c>
      <x:c r="G6" s="19" t="str">
        <x:f>IFERROR(D6*F6,"")</x:f>
      </x:c>
      <x:c r="H6" s="20" t="e">
        <x:f>GOOGLEFINANCE("UBER","pe")</x:f>
        <x:v>#NAME?</x:v>
      </x:c>
      <x:c r="I6" s="13" t="n">
        <x:v>0.0719</x:v>
      </x:c>
      <x:c r="J6" s="21" t="n">
        <x:f>IFERROR(D6*E6,"")</x:f>
        <x:v>0</x:v>
      </x:c>
      <x:c r="K6" s="21" t="n">
        <x:f>IFERROR(G6-J6,"")</x:f>
        <x:v>0</x:v>
      </x:c>
      <x:c r="L6" s="22" t="str">
        <x:f>IFERROR(K6/J6,"")</x:f>
      </x:c>
      <x:c r="M6" s="8" t="str">
        <x:v>Add</x:v>
      </x:c>
      <x:c r="N6" s="8" t="str">
        <x:v>Q2 2026</x:v>
      </x:c>
      <x:c r="O6" s="8" t="str">
        <x:v>Reported position increased by 1,361,351 shares.</x:v>
      </x:c>
    </x:row>
    <x:row r="7">
      <x:c r="A7" s="8" t="str">
        <x:v>EWY</x:v>
      </x:c>
      <x:c r="B7" s="8" t="str">
        <x:v>iShares MSCI South Korea ETF</x:v>
      </x:c>
      <x:c r="C7" s="8" t="str">
        <x:v>iShares MSCI South Korea ETF operates in the ETF sector. Review company filings for a precise business description.</x:v>
      </x:c>
      <x:c r="D7" s="14" t="n">
        <x:v>2425000</x:v>
      </x:c>
      <x:c r="E7" s="18"/>
      <x:c r="F7" s="19" t="e">
        <x:f>GOOGLEFINANCE("EWY","price")</x:f>
        <x:v>#NAME?</x:v>
      </x:c>
      <x:c r="G7" s="19" t="str">
        <x:f>IFERROR(D7*F7,"")</x:f>
      </x:c>
      <x:c r="H7" s="20" t="e">
        <x:f>GOOGLEFINANCE("EWY","pe")</x:f>
        <x:v>#NAME?</x:v>
      </x:c>
      <x:c r="I7" s="13" t="n">
        <x:v>0.0634</x:v>
      </x:c>
      <x:c r="J7" s="21" t="n">
        <x:f>IFERROR(D7*E7,"")</x:f>
        <x:v>0</x:v>
      </x:c>
      <x:c r="K7" s="21" t="n">
        <x:f>IFERROR(G7-J7,"")</x:f>
        <x:v>0</x:v>
      </x:c>
      <x:c r="L7" s="22" t="str">
        <x:f>IFERROR(K7/J7,"")</x:f>
      </x:c>
      <x:c r="M7" s="8" t="str">
        <x:v>Add</x:v>
      </x:c>
      <x:c r="N7" s="8" t="str">
        <x:v>Q2 2026</x:v>
      </x:c>
      <x:c r="O7" s="8" t="str">
        <x:v>Reported position increased by 25,000 shares; the ETF adds country-level exposure.</x:v>
      </x:c>
    </x:row>
    <x:row r="8">
      <x:c r="A8" s="8" t="str">
        <x:v>META</x:v>
      </x:c>
      <x:c r="B8" s="8" t="str">
        <x:v>Meta Platforms</x:v>
      </x:c>
      <x:c r="C8" s="8" t="str">
        <x:v>Meta operates Facebook, Instagram, WhatsApp, Threads, advertising platforms, AI infrastructure, and Reality Labs.</x:v>
      </x:c>
      <x:c r="D8" s="14" t="n">
        <x:v>675000</x:v>
      </x:c>
      <x:c r="E8" s="18"/>
      <x:c r="F8" s="19" t="e">
        <x:f>GOOGLEFINANCE("META","price")</x:f>
        <x:v>#NAME?</x:v>
      </x:c>
      <x:c r="G8" s="19" t="str">
        <x:f>IFERROR(D8*F8,"")</x:f>
      </x:c>
      <x:c r="H8" s="20" t="e">
        <x:f>GOOGLEFINANCE("META","pe")</x:f>
        <x:v>#NAME?</x:v>
      </x:c>
      <x:c r="I8" s="13" t="n">
        <x:v>0.0492</x:v>
      </x:c>
      <x:c r="J8" s="21" t="n">
        <x:f>IFERROR(D8*E8,"")</x:f>
        <x:v>0</x:v>
      </x:c>
      <x:c r="K8" s="21" t="n">
        <x:f>IFERROR(G8-J8,"")</x:f>
        <x:v>0</x:v>
      </x:c>
      <x:c r="L8" s="22" t="str">
        <x:f>IFERROR(K8/J8,"")</x:f>
      </x:c>
      <x:c r="M8" s="8" t="str">
        <x:v>Add</x:v>
      </x:c>
      <x:c r="N8" s="8" t="str">
        <x:v>Q2 2026</x:v>
      </x:c>
      <x:c r="O8" s="8" t="str">
        <x:v>Reported position increased by 238,500 shares.</x:v>
      </x:c>
    </x:row>
    <x:row r="9">
      <x:c r="A9" s="8" t="str">
        <x:v>VST</x:v>
      </x:c>
      <x:c r="B9" s="8" t="str">
        <x:v>Vistra</x:v>
      </x:c>
      <x:c r="C9" s="8" t="str">
        <x:v>Vistra operates in the Utilities sector. Review company filings for a precise business description.</x:v>
      </x:c>
      <x:c r="D9" s="14" t="n">
        <x:v>2215272</x:v>
      </x:c>
      <x:c r="E9" s="18"/>
      <x:c r="F9" s="19" t="e">
        <x:f>GOOGLEFINANCE("VST","price")</x:f>
        <x:v>#NAME?</x:v>
      </x:c>
      <x:c r="G9" s="19" t="str">
        <x:f>IFERROR(D9*F9,"")</x:f>
      </x:c>
      <x:c r="H9" s="20" t="e">
        <x:f>GOOGLEFINANCE("VST","pe")</x:f>
        <x:v>#NAME?</x:v>
      </x:c>
      <x:c r="I9" s="13" t="n">
        <x:v>0.0455</x:v>
      </x:c>
      <x:c r="J9" s="21" t="n">
        <x:f>IFERROR(D9*E9,"")</x:f>
        <x:v>0</x:v>
      </x:c>
      <x:c r="K9" s="21" t="n">
        <x:f>IFERROR(G9-J9,"")</x:f>
        <x:v>0</x:v>
      </x:c>
      <x:c r="L9" s="22" t="str">
        <x:f>IFERROR(K9/J9,"")</x:f>
      </x:c>
      <x:c r="M9" s="8" t="str">
        <x:v>Add</x:v>
      </x:c>
      <x:c r="N9" s="8" t="str">
        <x:v>Q2 2026</x:v>
      </x:c>
      <x:c r="O9" s="8" t="str">
        <x:v>Reported position increased by 192,940 shares.</x:v>
      </x:c>
    </x:row>
    <x:row r="10">
      <x:c r="A10" s="8" t="str">
        <x:v>NVDA</x:v>
      </x:c>
      <x:c r="B10" s="8" t="str">
        <x:v>NVIDIA</x:v>
      </x:c>
      <x:c r="C10" s="8" t="str">
        <x:v>NVIDIA designs GPUs, AI accelerators, networking, software, and systems for data centers, gaming, and professional visualization.</x:v>
      </x:c>
      <x:c r="D10" s="14" t="n">
        <x:v>1525000</x:v>
      </x:c>
      <x:c r="E10" s="18"/>
      <x:c r="F10" s="19" t="e">
        <x:f>GOOGLEFINANCE("NVDA","price")</x:f>
        <x:v>#NAME?</x:v>
      </x:c>
      <x:c r="G10" s="19" t="str">
        <x:f>IFERROR(D10*F10,"")</x:f>
      </x:c>
      <x:c r="H10" s="20" t="e">
        <x:f>GOOGLEFINANCE("NVDA","pe")</x:f>
        <x:v>#NAME?</x:v>
      </x:c>
      <x:c r="I10" s="13" t="n">
        <x:v>0.0395</x:v>
      </x:c>
      <x:c r="J10" s="21" t="n">
        <x:f>IFERROR(D10*E10,"")</x:f>
        <x:v>0</x:v>
      </x:c>
      <x:c r="K10" s="21" t="n">
        <x:f>IFERROR(G10-J10,"")</x:f>
        <x:v>0</x:v>
      </x:c>
      <x:c r="L10" s="22" t="str">
        <x:f>IFERROR(K10/J10,"")</x:f>
      </x:c>
      <x:c r="M10" s="8" t="str">
        <x:v>Add</x:v>
      </x:c>
      <x:c r="N10" s="8" t="str">
        <x:v>Q2 2026</x:v>
      </x:c>
      <x:c r="O10" s="8" t="str">
        <x:v>Reported position increased by 53,500 shares. This is a filing fact, not evidence that Tepper endorses the current price.</x:v>
      </x:c>
    </x:row>
    <x:row r="11">
      <x:c r="A11" s="8" t="str">
        <x:v>NRG</x:v>
      </x:c>
      <x:c r="B11" s="8" t="str">
        <x:v>NRG Energy</x:v>
      </x:c>
      <x:c r="C11" s="8" t="str">
        <x:v>NRG Energy operates in the Utilities sector. Review company filings for a precise business description.</x:v>
      </x:c>
      <x:c r="D11" s="14" t="n">
        <x:v>1760000</x:v>
      </x:c>
      <x:c r="E11" s="18"/>
      <x:c r="F11" s="19" t="e">
        <x:f>GOOGLEFINANCE("NRG","price")</x:f>
        <x:v>#NAME?</x:v>
      </x:c>
      <x:c r="G11" s="19" t="str">
        <x:f>IFERROR(D11*F11,"")</x:f>
      </x:c>
      <x:c r="H11" s="20" t="e">
        <x:f>GOOGLEFINANCE("NRG","pe")</x:f>
        <x:v>#NAME?</x:v>
      </x:c>
      <x:c r="I11" s="13" t="n">
        <x:v>0.0333</x:v>
      </x:c>
      <x:c r="J11" s="21" t="n">
        <x:f>IFERROR(D11*E11,"")</x:f>
        <x:v>0</x:v>
      </x:c>
      <x:c r="K11" s="21" t="n">
        <x:f>IFERROR(G11-J11,"")</x:f>
        <x:v>0</x:v>
      </x:c>
      <x:c r="L11" s="22" t="str">
        <x:f>IFERROR(K11/J11,"")</x:f>
      </x:c>
      <x:c r="M11" s="8" t="str">
        <x:v>Add</x:v>
      </x:c>
      <x:c r="N11" s="8" t="str">
        <x:v>Q2 2026</x:v>
      </x:c>
      <x:c r="O11" s="8" t="str">
        <x:v>Reported position increased by 25,558 shares.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889999866485596" hidden="0" customWidth="1"/>
    <x:col min="2" max="2" width="21.440000534057617" hidden="0" customWidth="1"/>
    <x:col min="3" max="3" width="50" hidden="0" customWidth="1"/>
    <x:col min="4" max="4" width="7.889999866485596" hidden="0" customWidth="1"/>
    <x:col min="5" max="5" width="13.329999923706055" hidden="0" customWidth="1"/>
    <x:col min="6" max="6" width="6.329999923706055" hidden="0" customWidth="1"/>
    <x:col min="7" max="7" width="8.779999732971191" hidden="0" customWidth="1"/>
    <x:col min="8" max="8" width="7.110000133514404" hidden="0" customWidth="1"/>
    <x:col min="9" max="9" width="12.4399995803833" hidden="0" customWidth="1"/>
    <x:col min="10" max="10" width="7.670000076293945" hidden="0" customWidth="1"/>
    <x:col min="11" max="11" width="11.4399995803833" hidden="0" customWidth="1"/>
    <x:col min="12" max="12" width="5.670000076293945" hidden="0" customWidth="1"/>
    <x:col min="13" max="13" width="5.559999942779541" hidden="0" customWidth="1"/>
    <x:col min="14" max="14" width="6.110000133514404" hidden="0" customWidth="1"/>
    <x:col min="15" max="15" width="60" hidden="0" customWidth="1"/>
  </x:cols>
  <x:sheetData>
    <x:row r="1" ht="36" customHeight="1">
      <x:c r="A1" s="12" t="str">
        <x:v>Ticker</x:v>
      </x:c>
      <x:c r="B1" s="12" t="str">
        <x:v>Company</x:v>
      </x:c>
      <x:c r="C1" s="12" t="str">
        <x:v>What the company does</x:v>
      </x:c>
      <x:c r="D1" s="12" t="str">
        <x:v>Shares</x:v>
      </x:c>
      <x:c r="E1" s="12" t="str">
        <x:v>Average Unit Cost</x:v>
      </x:c>
      <x:c r="F1" s="12" t="str">
        <x:v>Price</x:v>
      </x:c>
      <x:c r="G1" s="12" t="str">
        <x:v>Total Equity</x:v>
      </x:c>
      <x:c r="H1" s="12" t="str">
        <x:v>P/E Ratio</x:v>
      </x:c>
      <x:c r="I1" s="12" t="str">
        <x:v>Portfolio Percent</x:v>
      </x:c>
      <x:c r="J1" s="12" t="str">
        <x:v>Total Cost</x:v>
      </x:c>
      <x:c r="K1" s="12" t="str">
        <x:v>Total Gain/Loss</x:v>
      </x:c>
      <x:c r="L1" s="12" t="str">
        <x:v>% Gain</x:v>
      </x:c>
      <x:c r="M1" s="12" t="str">
        <x:v>Action</x:v>
      </x:c>
      <x:c r="N1" s="12" t="str">
        <x:v>Quarter</x:v>
      </x:c>
      <x:c r="O1" s="12" t="str">
        <x:v>Source / Notes</x:v>
      </x:c>
    </x:row>
    <x:row r="2">
      <x:c r="A2" s="8" t="str">
        <x:v>UBER</x:v>
      </x:c>
      <x:c r="B2" s="8" t="str">
        <x:v>Uber Technologies</x:v>
      </x:c>
      <x:c r="C2" s="8" t="str">
        <x:v>Uber operates mobility, delivery, and freight marketplaces using a global logistics and consumer network.</x:v>
      </x:c>
      <x:c r="D2" s="14" t="n">
        <x:v>34326200</x:v>
      </x:c>
      <x:c r="E2" s="18"/>
      <x:c r="F2" s="19" t="e">
        <x:f>GOOGLEFINANCE("UBER","price")</x:f>
        <x:v>#NAME?</x:v>
      </x:c>
      <x:c r="G2" s="19" t="str">
        <x:f>IFERROR(D2*F2,"")</x:f>
      </x:c>
      <x:c r="H2" s="20" t="e">
        <x:f>GOOGLEFINANCE("UBER","pe")</x:f>
        <x:v>#NAME?</x:v>
      </x:c>
      <x:c r="I2" s="13" t="n">
        <x:v>0.1272</x:v>
      </x:c>
      <x:c r="J2" s="21" t="n">
        <x:f>IFERROR(D2*E2,"")</x:f>
        <x:v>0</x:v>
      </x:c>
      <x:c r="K2" s="21" t="n">
        <x:f>IFERROR(G2-J2,"")</x:f>
        <x:v>0</x:v>
      </x:c>
      <x:c r="L2" s="22" t="str">
        <x:f>IFERROR(K2/J2,"")</x:f>
      </x:c>
      <x:c r="M2" s="8" t="str">
        <x:v>Add</x:v>
      </x:c>
      <x:c r="N2" s="8" t="str">
        <x:v>Q2 2026</x:v>
      </x:c>
      <x:c r="O2" s="8" t="str">
        <x:v>Add is based on the reported share-count change from the preceding 13-F. The filing does not disclose the investor's thesis or exact trade price.</x:v>
      </x:c>
    </x:row>
    <x:row r="3">
      <x:c r="A3" s="8" t="str">
        <x:v>BN</x:v>
      </x:c>
      <x:c r="B3" s="8" t="str">
        <x:v>Brookfield</x:v>
      </x:c>
      <x:c r="C3" s="8" t="str">
        <x:v>Brookfield operates in the Financials sector. Review company filings for a precise business description.</x:v>
      </x:c>
      <x:c r="D3" s="14" t="n">
        <x:v>57481047</x:v>
      </x:c>
      <x:c r="E3" s="18"/>
      <x:c r="F3" s="19" t="e">
        <x:f>GOOGLEFINANCE("BN","price")</x:f>
        <x:v>#NAME?</x:v>
      </x:c>
      <x:c r="G3" s="19" t="str">
        <x:f>IFERROR(D3*F3,"")</x:f>
      </x:c>
      <x:c r="H3" s="20" t="e">
        <x:f>GOOGLEFINANCE("BN","pe")</x:f>
        <x:v>#NAME?</x:v>
      </x:c>
      <x:c r="I3" s="13" t="n">
        <x:v>0.1258</x:v>
      </x:c>
      <x:c r="J3" s="21" t="n">
        <x:f>IFERROR(D3*E3,"")</x:f>
        <x:v>0</x:v>
      </x:c>
      <x:c r="K3" s="21" t="n">
        <x:f>IFERROR(G3-J3,"")</x:f>
        <x:v>0</x:v>
      </x:c>
      <x:c r="L3" s="22" t="str">
        <x:f>IFERROR(K3/J3,"")</x:f>
      </x:c>
      <x:c r="M3" s="8" t="str">
        <x:v>Reduce</x:v>
      </x:c>
      <x:c r="N3" s="8" t="str">
        <x:v>Q2 2026</x:v>
      </x:c>
      <x:c r="O3" s="8" t="str">
        <x:v>Reduce is based on the reported share-count change from the preceding 13-F. The filing does not disclose the investor's thesis or exact trade price.</x:v>
      </x:c>
    </x:row>
    <x:row r="4">
      <x:c r="A4" s="8" t="str">
        <x:v>MSFT</x:v>
      </x:c>
      <x:c r="B4" s="8" t="str">
        <x:v>Microsoft</x:v>
      </x:c>
      <x:c r="C4" s="8" t="str">
        <x:v>Microsoft sells enterprise software, cloud infrastructure, productivity tools, gaming, and AI-enabled services.</x:v>
      </x:c>
      <x:c r="D4" s="14" t="n">
        <x:v>6206730</x:v>
      </x:c>
      <x:c r="E4" s="18"/>
      <x:c r="F4" s="19" t="e">
        <x:f>GOOGLEFINANCE("MSFT","price")</x:f>
        <x:v>#NAME?</x:v>
      </x:c>
      <x:c r="G4" s="19" t="str">
        <x:f>IFERROR(D4*F4,"")</x:f>
      </x:c>
      <x:c r="H4" s="20" t="e">
        <x:f>GOOGLEFINANCE("MSFT","pe")</x:f>
        <x:v>#NAME?</x:v>
      </x:c>
      <x:c r="I4" s="13" t="n">
        <x:v>0.1189</x:v>
      </x:c>
      <x:c r="J4" s="21" t="n">
        <x:f>IFERROR(D4*E4,"")</x:f>
        <x:v>0</x:v>
      </x:c>
      <x:c r="K4" s="21" t="n">
        <x:f>IFERROR(G4-J4,"")</x:f>
        <x:v>0</x:v>
      </x:c>
      <x:c r="L4" s="22" t="str">
        <x:f>IFERROR(K4/J4,"")</x:f>
      </x:c>
      <x:c r="M4" s="8" t="str">
        <x:v>Add</x:v>
      </x:c>
      <x:c r="N4" s="8" t="str">
        <x:v>Q2 2026</x:v>
      </x:c>
      <x:c r="O4" s="8" t="str">
        <x:v>Add is based on the reported share-count change from the preceding 13-F. The filing does not disclose the investor's thesis or exact trade price.</x:v>
      </x:c>
    </x:row>
    <x:row r="5">
      <x:c r="A5" s="8" t="str">
        <x:v>AMZN</x:v>
      </x:c>
      <x:c r="B5" s="8" t="str">
        <x:v>Amazon</x:v>
      </x:c>
      <x:c r="C5" s="8" t="str">
        <x:v>Amazon operates e-commerce, logistics, advertising, subscriptions, and AWS cloud infrastructure.</x:v>
      </x:c>
      <x:c r="D5" s="14" t="n">
        <x:v>8563857</x:v>
      </x:c>
      <x:c r="E5" s="18"/>
      <x:c r="F5" s="19" t="e">
        <x:f>GOOGLEFINANCE("AMZN","price")</x:f>
        <x:v>#NAME?</x:v>
      </x:c>
      <x:c r="G5" s="19" t="str">
        <x:f>IFERROR(D5*F5,"")</x:f>
      </x:c>
      <x:c r="H5" s="20" t="e">
        <x:f>GOOGLEFINANCE("AMZN","pe")</x:f>
        <x:v>#NAME?</x:v>
      </x:c>
      <x:c r="I5" s="13" t="n">
        <x:v>0.10490000000000001</x:v>
      </x:c>
      <x:c r="J5" s="21" t="n">
        <x:f>IFERROR(D5*E5,"")</x:f>
        <x:v>0</x:v>
      </x:c>
      <x:c r="K5" s="21" t="n">
        <x:f>IFERROR(G5-J5,"")</x:f>
        <x:v>0</x:v>
      </x:c>
      <x:c r="L5" s="22" t="str">
        <x:f>IFERROR(K5/J5,"")</x:f>
      </x:c>
      <x:c r="M5" s="8" t="str">
        <x:v>Reduce</x:v>
      </x:c>
      <x:c r="N5" s="8" t="str">
        <x:v>Q2 2026</x:v>
      </x:c>
      <x:c r="O5" s="8" t="str">
        <x:v>Reduce is based on the reported share-count change from the preceding 13-F. The filing does not disclose the investor's thesis or exact trade price.</x:v>
      </x:c>
    </x:row>
    <x:row r="6">
      <x:c r="A6" s="8" t="str">
        <x:v>HHH</x:v>
      </x:c>
      <x:c r="B6" s="8" t="str">
        <x:v>Howard Hughes Holdings</x:v>
      </x:c>
      <x:c r="C6" s="8" t="str">
        <x:v>Howard Hughes Holdings operates in the Real Estate sector. Review company filings for a precise business description.</x:v>
      </x:c>
      <x:c r="D6" s="14" t="n">
        <x:v>27852064</x:v>
      </x:c>
      <x:c r="E6" s="18"/>
      <x:c r="F6" s="19" t="e">
        <x:f>GOOGLEFINANCE("HHH","price")</x:f>
        <x:v>#NAME?</x:v>
      </x:c>
      <x:c r="G6" s="19" t="str">
        <x:f>IFERROR(D6*F6,"")</x:f>
      </x:c>
      <x:c r="H6" s="20" t="e">
        <x:f>GOOGLEFINANCE("HHH","pe")</x:f>
        <x:v>#NAME?</x:v>
      </x:c>
      <x:c r="I6" s="13" t="n">
        <x:v>0.1023</x:v>
      </x:c>
      <x:c r="J6" s="21" t="n">
        <x:f>IFERROR(D6*E6,"")</x:f>
        <x:v>0</x:v>
      </x:c>
      <x:c r="K6" s="21" t="n">
        <x:f>IFERROR(G6-J6,"")</x:f>
        <x:v>0</x:v>
      </x:c>
      <x:c r="L6" s="22" t="str">
        <x:f>IFERROR(K6/J6,"")</x:f>
      </x:c>
      <x:c r="M6" s="8" t="str">
        <x:v>Add</x:v>
      </x:c>
      <x:c r="N6" s="8" t="str">
        <x:v>Q2 2026</x:v>
      </x:c>
      <x:c r="O6" s="8" t="str">
        <x:v>Add is based on the reported share-count change from the preceding 13-F. The filing does not disclose the investor's thesis or exact trade price.</x:v>
      </x:c>
    </x:row>
    <x:row r="7">
      <x:c r="A7" s="8" t="str">
        <x:v>QSR</x:v>
      </x:c>
      <x:c r="B7" s="8" t="str">
        <x:v>Restaurant Brands International</x:v>
      </x:c>
      <x:c r="C7" s="8" t="str">
        <x:v>Restaurant Brands International operates in the Consumer Discretionary sector. Review company filings for a precise business description.</x:v>
      </x:c>
      <x:c r="D7" s="14" t="n">
        <x:v>25821284</x:v>
      </x:c>
      <x:c r="E7" s="18"/>
      <x:c r="F7" s="19" t="e">
        <x:f>GOOGLEFINANCE("QSR","price")</x:f>
        <x:v>#NAME?</x:v>
      </x:c>
      <x:c r="G7" s="19" t="str">
        <x:f>IFERROR(D7*F7,"")</x:f>
      </x:c>
      <x:c r="H7" s="20" t="e">
        <x:f>GOOGLEFINANCE("QSR","pe")</x:f>
        <x:v>#NAME?</x:v>
      </x:c>
      <x:c r="I7" s="13" t="n">
        <x:v>0.0962</x:v>
      </x:c>
      <x:c r="J7" s="21" t="n">
        <x:f>IFERROR(D7*E7,"")</x:f>
        <x:v>0</x:v>
      </x:c>
      <x:c r="K7" s="21" t="n">
        <x:f>IFERROR(G7-J7,"")</x:f>
        <x:v>0</x:v>
      </x:c>
      <x:c r="L7" s="22" t="str">
        <x:f>IFERROR(K7/J7,"")</x:f>
      </x:c>
      <x:c r="M7" s="8" t="str">
        <x:v>Add</x:v>
      </x:c>
      <x:c r="N7" s="8" t="str">
        <x:v>Q2 2026</x:v>
      </x:c>
      <x:c r="O7" s="8" t="str">
        <x:v>Add is based on the reported share-count change from the preceding 13-F. The filing does not disclose the investor's thesis or exact trade price.</x:v>
      </x:c>
    </x:row>
    <x:row r="8">
      <x:c r="A8" s="8" t="str">
        <x:v>META</x:v>
      </x:c>
      <x:c r="B8" s="8" t="str">
        <x:v>Meta Platforms</x:v>
      </x:c>
      <x:c r="C8" s="8" t="str">
        <x:v>Meta operates Facebook, Instagram, WhatsApp, Threads, advertising platforms, AI infrastructure, and Reality Labs.</x:v>
      </x:c>
      <x:c r="D8" s="14" t="n">
        <x:v>3196062</x:v>
      </x:c>
      <x:c r="E8" s="18"/>
      <x:c r="F8" s="19" t="e">
        <x:f>GOOGLEFINANCE("META","price")</x:f>
        <x:v>#NAME?</x:v>
      </x:c>
      <x:c r="G8" s="19" t="str">
        <x:f>IFERROR(D8*F8,"")</x:f>
      </x:c>
      <x:c r="H8" s="20" t="e">
        <x:f>GOOGLEFINANCE("META","pe")</x:f>
        <x:v>#NAME?</x:v>
      </x:c>
      <x:c r="I8" s="13" t="n">
        <x:v>0.0925</x:v>
      </x:c>
      <x:c r="J8" s="21" t="n">
        <x:f>IFERROR(D8*E8,"")</x:f>
        <x:v>0</x:v>
      </x:c>
      <x:c r="K8" s="21" t="n">
        <x:f>IFERROR(G8-J8,"")</x:f>
        <x:v>0</x:v>
      </x:c>
      <x:c r="L8" s="22" t="str">
        <x:f>IFERROR(K8/J8,"")</x:f>
      </x:c>
      <x:c r="M8" s="8" t="str">
        <x:v>Add</x:v>
      </x:c>
      <x:c r="N8" s="8" t="str">
        <x:v>Q2 2026</x:v>
      </x:c>
      <x:c r="O8" s="8" t="str">
        <x:v>Add is based on the reported share-count change from the preceding 13-F. The filing does not disclose the investor's thesis or exact trade price.</x:v>
      </x:c>
    </x:row>
    <x:row r="9">
      <x:c r="A9" s="8" t="str">
        <x:v>V</x:v>
      </x:c>
      <x:c r="B9" s="8" t="str">
        <x:v>Visa</x:v>
      </x:c>
      <x:c r="C9" s="8" t="str">
        <x:v>Visa operates a global electronic payments network connecting consumers, merchants, banks, and fintech partners.</x:v>
      </x:c>
      <x:c r="D9" s="14" t="n">
        <x:v>3270470</x:v>
      </x:c>
      <x:c r="E9" s="18"/>
      <x:c r="F9" s="19" t="e">
        <x:f>GOOGLEFINANCE("V","price")</x:f>
        <x:v>#NAME?</x:v>
      </x:c>
      <x:c r="G9" s="19" t="str">
        <x:f>IFERROR(D9*F9,"")</x:f>
      </x:c>
      <x:c r="H9" s="20" t="e">
        <x:f>GOOGLEFINANCE("V","pe")</x:f>
        <x:v>#NAME?</x:v>
      </x:c>
      <x:c r="I9" s="13" t="n">
        <x:v>0.0576</x:v>
      </x:c>
      <x:c r="J9" s="21" t="n">
        <x:f>IFERROR(D9*E9,"")</x:f>
        <x:v>0</x:v>
      </x:c>
      <x:c r="K9" s="21" t="n">
        <x:f>IFERROR(G9-J9,"")</x:f>
        <x:v>0</x:v>
      </x:c>
      <x:c r="L9" s="22" t="str">
        <x:f>IFERROR(K9/J9,"")</x:f>
      </x:c>
      <x:c r="M9" s="8" t="str">
        <x:v>New</x:v>
      </x:c>
      <x:c r="N9" s="8" t="str">
        <x:v>Q2 2026</x:v>
      </x:c>
      <x:c r="O9" s="8" t="str">
        <x:v>New is based on the reported share-count change from the preceding 13-F. The filing does not disclose the investor's thesis or exact trade price.</x:v>
      </x:c>
    </x:row>
    <x:row r="10">
      <x:c r="A10" s="8" t="str">
        <x:v>MA</x:v>
      </x:c>
      <x:c r="B10" s="8" t="str">
        <x:v>Mastercard</x:v>
      </x:c>
      <x:c r="C10" s="8" t="str">
        <x:v>Mastercard operates a global payment processing network and related data, fraud, and payment technology services.</x:v>
      </x:c>
      <x:c r="D10" s="14" t="n">
        <x:v>2124646</x:v>
      </x:c>
      <x:c r="E10" s="18"/>
      <x:c r="F10" s="19" t="e">
        <x:f>GOOGLEFINANCE("MA","price")</x:f>
        <x:v>#NAME?</x:v>
      </x:c>
      <x:c r="G10" s="19" t="str">
        <x:f>IFERROR(D10*F10,"")</x:f>
      </x:c>
      <x:c r="H10" s="20" t="e">
        <x:f>GOOGLEFINANCE("MA","pe")</x:f>
        <x:v>#NAME?</x:v>
      </x:c>
      <x:c r="I10" s="13" t="n">
        <x:v>0.056100000000000004</x:v>
      </x:c>
      <x:c r="J10" s="21" t="n">
        <x:f>IFERROR(D10*E10,"")</x:f>
        <x:v>0</x:v>
      </x:c>
      <x:c r="K10" s="21" t="n">
        <x:f>IFERROR(G10-J10,"")</x:f>
        <x:v>0</x:v>
      </x:c>
      <x:c r="L10" s="22" t="str">
        <x:f>IFERROR(K10/J10,"")</x:f>
      </x:c>
      <x:c r="M10" s="8" t="str">
        <x:v>New</x:v>
      </x:c>
      <x:c r="N10" s="8" t="str">
        <x:v>Q2 2026</x:v>
      </x:c>
      <x:c r="O10" s="8" t="str">
        <x:v>New is based on the reported share-count change from the preceding 13-F. The filing does not disclose the investor's thesis or exact trade price.</x:v>
      </x:c>
    </x:row>
    <x:row r="11">
      <x:c r="A11" s="8" t="str">
        <x:v>SPGI</x:v>
      </x:c>
      <x:c r="B11" s="8" t="str">
        <x:v>S&amp;P Global</x:v>
      </x:c>
      <x:c r="C11" s="8" t="str">
        <x:v>S&amp;P Global provides credit ratings, benchmarks, market intelligence, indices, and commodity data.</x:v>
      </x:c>
      <x:c r="D11" s="14" t="n">
        <x:v>2593155</x:v>
      </x:c>
      <x:c r="E11" s="18"/>
      <x:c r="F11" s="19" t="e">
        <x:f>GOOGLEFINANCE("SPGI","price")</x:f>
        <x:v>#NAME?</x:v>
      </x:c>
      <x:c r="G11" s="19" t="str">
        <x:f>IFERROR(D11*F11,"")</x:f>
      </x:c>
      <x:c r="H11" s="20" t="e">
        <x:f>GOOGLEFINANCE("SPGI","pe")</x:f>
        <x:v>#NAME?</x:v>
      </x:c>
      <x:c r="I11" s="13" t="n">
        <x:v>0.054299999999999994</x:v>
      </x:c>
      <x:c r="J11" s="21" t="n">
        <x:f>IFERROR(D11*E11,"")</x:f>
        <x:v>0</x:v>
      </x:c>
      <x:c r="K11" s="21" t="n">
        <x:f>IFERROR(G11-J11,"")</x:f>
        <x:v>0</x:v>
      </x:c>
      <x:c r="L11" s="22" t="str">
        <x:f>IFERROR(K11/J11,"")</x:f>
      </x:c>
      <x:c r="M11" s="8" t="str">
        <x:v>New</x:v>
      </x:c>
      <x:c r="N11" s="8" t="str">
        <x:v>Q2 2026</x:v>
      </x:c>
      <x:c r="O11" s="8" t="str">
        <x:v>New is based on the reported share-count change from the preceding 13-F. The filing does not disclose the investor's thesis or exact trade price.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329999923706055" hidden="0" customWidth="1"/>
    <x:col min="2" max="2" width="15" hidden="0" customWidth="1"/>
    <x:col min="3" max="3" width="50" hidden="0" customWidth="1"/>
    <x:col min="4" max="4" width="8.779999732971191" hidden="0" customWidth="1"/>
    <x:col min="5" max="5" width="13.329999923706055" hidden="0" customWidth="1"/>
    <x:col min="6" max="6" width="6.329999923706055" hidden="0" customWidth="1"/>
    <x:col min="7" max="7" width="8.779999732971191" hidden="0" customWidth="1"/>
    <x:col min="8" max="8" width="7.110000133514404" hidden="0" customWidth="1"/>
    <x:col min="9" max="9" width="12.4399995803833" hidden="0" customWidth="1"/>
    <x:col min="10" max="10" width="7.670000076293945" hidden="0" customWidth="1"/>
    <x:col min="11" max="11" width="11.4399995803833" hidden="0" customWidth="1"/>
    <x:col min="12" max="12" width="5.670000076293945" hidden="0" customWidth="1"/>
    <x:col min="13" max="13" width="5" hidden="0" customWidth="1"/>
    <x:col min="14" max="14" width="6.110000133514404" hidden="0" customWidth="1"/>
    <x:col min="15" max="15" width="60" hidden="0" customWidth="1"/>
  </x:cols>
  <x:sheetData>
    <x:row r="1" ht="36" customHeight="1">
      <x:c r="A1" s="12" t="str">
        <x:v>Ticker</x:v>
      </x:c>
      <x:c r="B1" s="12" t="str">
        <x:v>Company</x:v>
      </x:c>
      <x:c r="C1" s="12" t="str">
        <x:v>What the company does</x:v>
      </x:c>
      <x:c r="D1" s="12" t="str">
        <x:v>Shares</x:v>
      </x:c>
      <x:c r="E1" s="12" t="str">
        <x:v>Average Unit Cost</x:v>
      </x:c>
      <x:c r="F1" s="12" t="str">
        <x:v>Price</x:v>
      </x:c>
      <x:c r="G1" s="12" t="str">
        <x:v>Total Equity</x:v>
      </x:c>
      <x:c r="H1" s="12" t="str">
        <x:v>P/E Ratio</x:v>
      </x:c>
      <x:c r="I1" s="12" t="str">
        <x:v>Portfolio Percent</x:v>
      </x:c>
      <x:c r="J1" s="12" t="str">
        <x:v>Total Cost</x:v>
      </x:c>
      <x:c r="K1" s="12" t="str">
        <x:v>Total Gain/Loss</x:v>
      </x:c>
      <x:c r="L1" s="12" t="str">
        <x:v>% Gain</x:v>
      </x:c>
      <x:c r="M1" s="12" t="str">
        <x:v>Action</x:v>
      </x:c>
      <x:c r="N1" s="12" t="str">
        <x:v>Quarter</x:v>
      </x:c>
      <x:c r="O1" s="12" t="str">
        <x:v>Source / Notes</x:v>
      </x:c>
    </x:row>
    <x:row r="2">
      <x:c r="A2" s="8" t="str">
        <x:v>ELAN</x:v>
      </x:c>
      <x:c r="B2" s="8" t="str">
        <x:v>Elanco Animal Health</x:v>
      </x:c>
      <x:c r="C2" s="8" t="str">
        <x:v>Elanco Animal Health develops medicines, vaccines, and health products for pets and livestock.</x:v>
      </x:c>
      <x:c r="D2" s="14" t="n">
        <x:v>85200000</x:v>
      </x:c>
      <x:c r="E2" s="18"/>
      <x:c r="F2" s="19" t="e">
        <x:f>GOOGLEFINANCE("ELAN","price")</x:f>
        <x:v>#NAME?</x:v>
      </x:c>
      <x:c r="G2" s="19" t="str">
        <x:f>IFERROR(D2*F2,"")</x:f>
      </x:c>
      <x:c r="H2" s="20" t="e">
        <x:f>GOOGLEFINANCE("ELAN","pe")</x:f>
        <x:v>#NAME?</x:v>
      </x:c>
      <x:c r="I2" s="13" t="n">
        <x:v>0.163</x:v>
      </x:c>
      <x:c r="J2" s="21" t="n">
        <x:f>IFERROR(D2*E2,"")</x:f>
        <x:v>0</x:v>
      </x:c>
      <x:c r="K2" s="21" t="n">
        <x:f>IFERROR(G2-J2,"")</x:f>
        <x:v>0</x:v>
      </x:c>
      <x:c r="L2" s="22" t="str">
        <x:f>IFERROR(K2/J2,"")</x:f>
      </x:c>
      <x:c r="M2" s="8" t="str">
        <x:v>Hold</x:v>
      </x:c>
      <x:c r="N2" s="8" t="str">
        <x:v>Q3 2024</x:v>
      </x:c>
      <x:c r="O2" s="8" t="str">
        <x:v>Turnaround story. Animal health duopoly with Zoetis. Cheap on normalized earnings.</x:v>
      </x:c>
    </x:row>
    <x:row r="3">
      <x:c r="A3" s="8" t="str">
        <x:v>IAC</x:v>
      </x:c>
      <x:c r="B3" s="8" t="str">
        <x:v>IAC / InterActiveCorp</x:v>
      </x:c>
      <x:c r="C3" s="8" t="str">
        <x:v>IAC owns and operates internet and media businesses, historically including marketplaces, publishing, and consumer services.</x:v>
      </x:c>
      <x:c r="D3" s="14" t="n">
        <x:v>12400000</x:v>
      </x:c>
      <x:c r="E3" s="18"/>
      <x:c r="F3" s="19" t="e">
        <x:f>GOOGLEFINANCE("IAC","price")</x:f>
        <x:v>#NAME?</x:v>
      </x:c>
      <x:c r="G3" s="19" t="str">
        <x:f>IFERROR(D3*F3,"")</x:f>
      </x:c>
      <x:c r="H3" s="20" t="e">
        <x:f>GOOGLEFINANCE("IAC","pe")</x:f>
        <x:v>#NAME?</x:v>
      </x:c>
      <x:c r="I3" s="13" t="n">
        <x:v>0.14800000000000002</x:v>
      </x:c>
      <x:c r="J3" s="21" t="n">
        <x:f>IFERROR(D3*E3,"")</x:f>
        <x:v>0</x:v>
      </x:c>
      <x:c r="K3" s="21" t="n">
        <x:f>IFERROR(G3-J3,"")</x:f>
        <x:v>0</x:v>
      </x:c>
      <x:c r="L3" s="22" t="str">
        <x:f>IFERROR(K3/J3,"")</x:f>
      </x:c>
      <x:c r="M3" s="8" t="str">
        <x:v>Add</x:v>
      </x:c>
      <x:c r="N3" s="8" t="str">
        <x:v>Q3 2024</x:v>
      </x:c>
      <x:c r="O3" s="8" t="str">
        <x:v>Classic Klarman — SOTP discount. Owns Dotdash Meredith, Ask.com, Angi. Deep discount to NAV.</x:v>
      </x:c>
    </x:row>
    <x:row r="4">
      <x:c r="A4" s="8" t="str">
        <x:v>VIASP</x:v>
      </x:c>
      <x:c r="B4" s="8" t="str">
        <x:v>Viasat</x:v>
      </x:c>
      <x:c r="C4" s="8" t="str">
        <x:v>Viasat provides satellite communications, broadband, defense connectivity, and aviation/maritime connectivity services.</x:v>
      </x:c>
      <x:c r="D4" s="14" t="n">
        <x:v>18600000</x:v>
      </x:c>
      <x:c r="E4" s="18"/>
      <x:c r="F4" s="19" t="e">
        <x:f>GOOGLEFINANCE("VIASP","price")</x:f>
        <x:v>#NAME?</x:v>
      </x:c>
      <x:c r="G4" s="19" t="str">
        <x:f>IFERROR(D4*F4,"")</x:f>
      </x:c>
      <x:c r="H4" s="20" t="e">
        <x:f>GOOGLEFINANCE("VIASP","pe")</x:f>
        <x:v>#NAME?</x:v>
      </x:c>
      <x:c r="I4" s="13" t="n">
        <x:v>0.121</x:v>
      </x:c>
      <x:c r="J4" s="21" t="n">
        <x:f>IFERROR(D4*E4,"")</x:f>
        <x:v>0</x:v>
      </x:c>
      <x:c r="K4" s="21" t="n">
        <x:f>IFERROR(G4-J4,"")</x:f>
        <x:v>0</x:v>
      </x:c>
      <x:c r="L4" s="22" t="str">
        <x:f>IFERROR(K4/J4,"")</x:f>
      </x:c>
      <x:c r="M4" s="8" t="str">
        <x:v>Hold</x:v>
      </x:c>
      <x:c r="N4" s="8" t="str">
        <x:v>Q3 2024</x:v>
      </x:c>
      <x:c r="O4" s="8" t="str">
        <x:v>Distressed satellite play. Integration issues with Inmarsat created opportunity.</x:v>
      </x:c>
    </x:row>
    <x:row r="5">
      <x:c r="A5" s="8" t="str">
        <x:v>QRTEA</x:v>
      </x:c>
      <x:c r="B5" s="8" t="str">
        <x:v>Qurate Retail</x:v>
      </x:c>
      <x:c r="C5" s="8" t="str">
        <x:v>Qurate Retail operates video commerce, e-commerce, and retail brands including QVC and HSN.</x:v>
      </x:c>
      <x:c r="D5" s="14" t="n">
        <x:v>198000000</x:v>
      </x:c>
      <x:c r="E5" s="18"/>
      <x:c r="F5" s="19" t="e">
        <x:f>GOOGLEFINANCE("QRTEA","price")</x:f>
        <x:v>#NAME?</x:v>
      </x:c>
      <x:c r="G5" s="19" t="str">
        <x:f>IFERROR(D5*F5,"")</x:f>
      </x:c>
      <x:c r="H5" s="20" t="e">
        <x:f>GOOGLEFINANCE("QRTEA","pe")</x:f>
        <x:v>#NAME?</x:v>
      </x:c>
      <x:c r="I5" s="13" t="n">
        <x:v>0.096</x:v>
      </x:c>
      <x:c r="J5" s="21" t="n">
        <x:f>IFERROR(D5*E5,"")</x:f>
        <x:v>0</x:v>
      </x:c>
      <x:c r="K5" s="21" t="n">
        <x:f>IFERROR(G5-J5,"")</x:f>
        <x:v>0</x:v>
      </x:c>
      <x:c r="L5" s="22" t="str">
        <x:f>IFERROR(K5/J5,"")</x:f>
      </x:c>
      <x:c r="M5" s="8" t="str">
        <x:v>Hold</x:v>
      </x:c>
      <x:c r="N5" s="8" t="str">
        <x:v>Q3 2024</x:v>
      </x:c>
      <x:c r="O5" s="8" t="str">
        <x:v>Deep distressed value. HSN/QVC parent trading at extreme discount. High risk.</x:v>
      </x:c>
    </x:row>
    <x:row r="6">
      <x:c r="A6" s="8" t="str">
        <x:v>EXPE</x:v>
      </x:c>
      <x:c r="B6" s="8" t="str">
        <x:v>Expedia</x:v>
      </x:c>
      <x:c r="C6" s="8" t="str">
        <x:v>Expedia Group operates online travel brands for lodging, flights, vacation rentals, and travel advertising.</x:v>
      </x:c>
      <x:c r="D6" s="14" t="n">
        <x:v>4099999.9999999995</x:v>
      </x:c>
      <x:c r="E6" s="18"/>
      <x:c r="F6" s="19" t="e">
        <x:f>GOOGLEFINANCE("EXPE","price")</x:f>
        <x:v>#NAME?</x:v>
      </x:c>
      <x:c r="G6" s="19" t="str">
        <x:f>IFERROR(D6*F6,"")</x:f>
      </x:c>
      <x:c r="H6" s="20" t="e">
        <x:f>GOOGLEFINANCE("EXPE","pe")</x:f>
        <x:v>#NAME?</x:v>
      </x:c>
      <x:c r="I6" s="13" t="n">
        <x:v>0.084</x:v>
      </x:c>
      <x:c r="J6" s="21" t="n">
        <x:f>IFERROR(D6*E6,"")</x:f>
        <x:v>0</x:v>
      </x:c>
      <x:c r="K6" s="21" t="n">
        <x:f>IFERROR(G6-J6,"")</x:f>
        <x:v>0</x:v>
      </x:c>
      <x:c r="L6" s="22" t="str">
        <x:f>IFERROR(K6/J6,"")</x:f>
      </x:c>
      <x:c r="M6" s="8" t="str">
        <x:v>New</x:v>
      </x:c>
      <x:c r="N6" s="8" t="str">
        <x:v>Q3 2024</x:v>
      </x:c>
      <x:c r="O6" s="8" t="str">
        <x:v>OTA with brand moat. Cheaper than Booking Holdings on FCF. Recovery play.</x:v>
      </x:c>
    </x:row>
    <x:row r="7">
      <x:c r="A7" s="8" t="str">
        <x:v>LUMN</x:v>
      </x:c>
      <x:c r="B7" s="8" t="str">
        <x:v>Lumen Technologies</x:v>
      </x:c>
      <x:c r="C7" s="8" t="str">
        <x:v>Lumen Technologies provides fiber, networking, cloud connectivity, and communications infrastructure.</x:v>
      </x:c>
      <x:c r="D7" s="14" t="n">
        <x:v>145000000</x:v>
      </x:c>
      <x:c r="E7" s="18"/>
      <x:c r="F7" s="19" t="e">
        <x:f>GOOGLEFINANCE("LUMN","price")</x:f>
        <x:v>#NAME?</x:v>
      </x:c>
      <x:c r="G7" s="19" t="str">
        <x:f>IFERROR(D7*F7,"")</x:f>
      </x:c>
      <x:c r="H7" s="20" t="e">
        <x:f>GOOGLEFINANCE("LUMN","pe")</x:f>
        <x:v>#NAME?</x:v>
      </x:c>
      <x:c r="I7" s="13" t="n">
        <x:v>0.07200000000000001</x:v>
      </x:c>
      <x:c r="J7" s="21" t="n">
        <x:f>IFERROR(D7*E7,"")</x:f>
        <x:v>0</x:v>
      </x:c>
      <x:c r="K7" s="21" t="n">
        <x:f>IFERROR(G7-J7,"")</x:f>
        <x:v>0</x:v>
      </x:c>
      <x:c r="L7" s="22" t="str">
        <x:f>IFERROR(K7/J7,"")</x:f>
      </x:c>
      <x:c r="M7" s="8" t="str">
        <x:v>Hold</x:v>
      </x:c>
      <x:c r="N7" s="8" t="str">
        <x:v>Q3 2024</x:v>
      </x:c>
      <x:c r="O7" s="8" t="str">
        <x:v>Distressed telecom fiber play. AI data centre connectivity demand could re-rate.</x:v>
      </x:c>
    </x:row>
    <x:row r="8">
      <x:c r="A8" s="8" t="str">
        <x:v>GEHC</x:v>
      </x:c>
      <x:c r="B8" s="8" t="str">
        <x:v>GE HealthCare</x:v>
      </x:c>
      <x:c r="C8" s="8" t="str">
        <x:v>GE HealthCare sells medical imaging, ultrasound, patient monitoring, and healthcare technology products.</x:v>
      </x:c>
      <x:c r="D8" s="14" t="n">
        <x:v>8900000</x:v>
      </x:c>
      <x:c r="E8" s="18"/>
      <x:c r="F8" s="19" t="e">
        <x:f>GOOGLEFINANCE("GEHC","price")</x:f>
        <x:v>#NAME?</x:v>
      </x:c>
      <x:c r="G8" s="19" t="str">
        <x:f>IFERROR(D8*F8,"")</x:f>
      </x:c>
      <x:c r="H8" s="20" t="e">
        <x:f>GOOGLEFINANCE("GEHC","pe")</x:f>
        <x:v>#NAME?</x:v>
      </x:c>
      <x:c r="I8" s="13" t="n">
        <x:v>0.068</x:v>
      </x:c>
      <x:c r="J8" s="21" t="n">
        <x:f>IFERROR(D8*E8,"")</x:f>
        <x:v>0</x:v>
      </x:c>
      <x:c r="K8" s="21" t="n">
        <x:f>IFERROR(G8-J8,"")</x:f>
        <x:v>0</x:v>
      </x:c>
      <x:c r="L8" s="22" t="str">
        <x:f>IFERROR(K8/J8,"")</x:f>
      </x:c>
      <x:c r="M8" s="8" t="str">
        <x:v>Add</x:v>
      </x:c>
      <x:c r="N8" s="8" t="str">
        <x:v>Q3 2024</x:v>
      </x:c>
      <x:c r="O8" s="8" t="str">
        <x:v>Medical imaging leader post GE spin-off. AI-enhanced diagnostics growth.</x:v>
      </x:c>
    </x:row>
    <x:row r="9">
      <x:c r="A9" s="8" t="str">
        <x:v>REZI</x:v>
      </x:c>
      <x:c r="B9" s="8" t="str">
        <x:v>Resideo Technologies</x:v>
      </x:c>
      <x:c r="C9" s="8" t="str">
        <x:v>Resideo provides residential comfort, security, and connected-home products and distribution.</x:v>
      </x:c>
      <x:c r="D9" s="14" t="n">
        <x:v>22100000</x:v>
      </x:c>
      <x:c r="E9" s="18"/>
      <x:c r="F9" s="19" t="e">
        <x:f>GOOGLEFINANCE("REZI","price")</x:f>
        <x:v>#NAME?</x:v>
      </x:c>
      <x:c r="G9" s="19" t="str">
        <x:f>IFERROR(D9*F9,"")</x:f>
      </x:c>
      <x:c r="H9" s="20" t="e">
        <x:f>GOOGLEFINANCE("REZI","pe")</x:f>
        <x:v>#NAME?</x:v>
      </x:c>
      <x:c r="I9" s="13" t="n">
        <x:v>0.059000000000000004</x:v>
      </x:c>
      <x:c r="J9" s="21" t="n">
        <x:f>IFERROR(D9*E9,"")</x:f>
        <x:v>0</x:v>
      </x:c>
      <x:c r="K9" s="21" t="n">
        <x:f>IFERROR(G9-J9,"")</x:f>
        <x:v>0</x:v>
      </x:c>
      <x:c r="L9" s="22" t="str">
        <x:f>IFERROR(K9/J9,"")</x:f>
      </x:c>
      <x:c r="M9" s="8" t="str">
        <x:v>Hold</x:v>
      </x:c>
      <x:c r="N9" s="8" t="str">
        <x:v>Q3 2024</x:v>
      </x:c>
      <x:c r="O9" s="8" t="str">
        <x:v>Honeywell spin-off at discount. Home security and comfort products distribution.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8000020980835" hidden="0" customWidth="1"/>
    <x:col min="2" max="2" width="18.559999465942383" hidden="0" customWidth="1"/>
    <x:col min="3" max="3" width="50" hidden="0" customWidth="1"/>
    <x:col min="4" max="4" width="5.329999923706055" hidden="0" customWidth="1"/>
    <x:col min="5" max="5" width="13.329999923706055" hidden="0" customWidth="1"/>
    <x:col min="6" max="6" width="6.329999923706055" hidden="0" customWidth="1"/>
    <x:col min="7" max="7" width="8.779999732971191" hidden="0" customWidth="1"/>
    <x:col min="8" max="8" width="7.110000133514404" hidden="0" customWidth="1"/>
    <x:col min="9" max="9" width="12.4399995803833" hidden="0" customWidth="1"/>
    <x:col min="10" max="10" width="7.670000076293945" hidden="0" customWidth="1"/>
    <x:col min="11" max="11" width="11.4399995803833" hidden="0" customWidth="1"/>
    <x:col min="12" max="12" width="5.670000076293945" hidden="0" customWidth="1"/>
    <x:col min="13" max="13" width="5" hidden="0" customWidth="1"/>
    <x:col min="14" max="14" width="6.110000133514404" hidden="0" customWidth="1"/>
    <x:col min="15" max="15" width="60" hidden="0" customWidth="1"/>
  </x:cols>
  <x:sheetData>
    <x:row r="1" ht="36" customHeight="1">
      <x:c r="A1" s="12" t="str">
        <x:v>Ticker</x:v>
      </x:c>
      <x:c r="B1" s="12" t="str">
        <x:v>Company</x:v>
      </x:c>
      <x:c r="C1" s="12" t="str">
        <x:v>What the company does</x:v>
      </x:c>
      <x:c r="D1" s="12" t="str">
        <x:v>Shares</x:v>
      </x:c>
      <x:c r="E1" s="12" t="str">
        <x:v>Average Unit Cost</x:v>
      </x:c>
      <x:c r="F1" s="12" t="str">
        <x:v>Price</x:v>
      </x:c>
      <x:c r="G1" s="12" t="str">
        <x:v>Total Equity</x:v>
      </x:c>
      <x:c r="H1" s="12" t="str">
        <x:v>P/E Ratio</x:v>
      </x:c>
      <x:c r="I1" s="12" t="str">
        <x:v>Portfolio Percent</x:v>
      </x:c>
      <x:c r="J1" s="12" t="str">
        <x:v>Total Cost</x:v>
      </x:c>
      <x:c r="K1" s="12" t="str">
        <x:v>Total Gain/Loss</x:v>
      </x:c>
      <x:c r="L1" s="12" t="str">
        <x:v>% Gain</x:v>
      </x:c>
      <x:c r="M1" s="12" t="str">
        <x:v>Action</x:v>
      </x:c>
      <x:c r="N1" s="12" t="str">
        <x:v>Quarter</x:v>
      </x:c>
      <x:c r="O1" s="12" t="str">
        <x:v>Source / Notes</x:v>
      </x:c>
    </x:row>
    <x:row r="2">
      <x:c r="A2" s="8" t="str">
        <x:v>META</x:v>
      </x:c>
      <x:c r="B2" s="8" t="str">
        <x:v>Meta Platforms</x:v>
      </x:c>
      <x:c r="C2" s="8" t="str">
        <x:v>Meta operates Facebook, Instagram, WhatsApp, Threads, advertising platforms, AI infrastructure, and Reality Labs.</x:v>
      </x:c>
      <x:c r="D2" s="14"/>
      <x:c r="E2" s="18"/>
      <x:c r="F2" s="19" t="e">
        <x:f>GOOGLEFINANCE("META","price")</x:f>
        <x:v>#NAME?</x:v>
      </x:c>
      <x:c r="G2" s="19" t="str">
        <x:f>IFERROR(D2*F2,"")</x:f>
      </x:c>
      <x:c r="H2" s="20" t="e">
        <x:f>GOOGLEFINANCE("META","pe")</x:f>
        <x:v>#NAME?</x:v>
      </x:c>
      <x:c r="I2" s="13" t="n">
        <x:v>0.08900000000000001</x:v>
      </x:c>
      <x:c r="J2" s="21" t="n">
        <x:f>IFERROR(D2*E2,"")</x:f>
        <x:v>0</x:v>
      </x:c>
      <x:c r="K2" s="21" t="n">
        <x:f>IFERROR(G2-J2,"")</x:f>
        <x:v>0</x:v>
      </x:c>
      <x:c r="L2" s="22" t="str">
        <x:f>IFERROR(K2/J2,"")</x:f>
      </x:c>
      <x:c r="M2" s="8" t="str">
        <x:v>Hold</x:v>
      </x:c>
      <x:c r="N2" s="8" t="str">
        <x:v>Q4 2024</x:v>
      </x:c>
      <x:c r="O2" s="8" t="str">
        <x:v>Largest social network. Advertising moat. Zuckerberg's capital allocation (buybacks, AI capex) praised.</x:v>
      </x:c>
    </x:row>
    <x:row r="3">
      <x:c r="A3" s="8" t="str">
        <x:v>MSFT</x:v>
      </x:c>
      <x:c r="B3" s="8" t="str">
        <x:v>Microsoft</x:v>
      </x:c>
      <x:c r="C3" s="8" t="str">
        <x:v>Microsoft sells enterprise software, cloud infrastructure, productivity tools, gaming, and AI-enabled services.</x:v>
      </x:c>
      <x:c r="D3" s="14"/>
      <x:c r="E3" s="18"/>
      <x:c r="F3" s="19" t="e">
        <x:f>GOOGLEFINANCE("MSFT","price")</x:f>
        <x:v>#NAME?</x:v>
      </x:c>
      <x:c r="G3" s="19" t="str">
        <x:f>IFERROR(D3*F3,"")</x:f>
      </x:c>
      <x:c r="H3" s="20" t="e">
        <x:f>GOOGLEFINANCE("MSFT","pe")</x:f>
        <x:v>#NAME?</x:v>
      </x:c>
      <x:c r="I3" s="13" t="n">
        <x:v>0.08199999999999999</x:v>
      </x:c>
      <x:c r="J3" s="21" t="n">
        <x:f>IFERROR(D3*E3,"")</x:f>
        <x:v>0</x:v>
      </x:c>
      <x:c r="K3" s="21" t="n">
        <x:f>IFERROR(G3-J3,"")</x:f>
        <x:v>0</x:v>
      </x:c>
      <x:c r="L3" s="22" t="str">
        <x:f>IFERROR(K3/J3,"")</x:f>
      </x:c>
      <x:c r="M3" s="8" t="str">
        <x:v>Hold</x:v>
      </x:c>
      <x:c r="N3" s="8" t="str">
        <x:v>Q4 2024</x:v>
      </x:c>
      <x:c r="O3" s="8" t="str">
        <x:v>Azure + Office 365 recurring revenue. Copilot AI integration. Classic Fundsmith quality compounder.</x:v>
      </x:c>
    </x:row>
    <x:row r="4">
      <x:c r="A4" s="8" t="str">
        <x:v>GOOGL</x:v>
      </x:c>
      <x:c r="B4" s="8" t="str">
        <x:v>Alphabet</x:v>
      </x:c>
      <x:c r="C4" s="8" t="str">
        <x:v>Alphabet Class A represents Alphabet, parent of Google Search, YouTube, Google Cloud, Android, and AI assets.</x:v>
      </x:c>
      <x:c r="D4" s="14"/>
      <x:c r="E4" s="18"/>
      <x:c r="F4" s="19" t="e">
        <x:f>GOOGLEFINANCE("GOOGL","price")</x:f>
        <x:v>#NAME?</x:v>
      </x:c>
      <x:c r="G4" s="19" t="str">
        <x:f>IFERROR(D4*F4,"")</x:f>
      </x:c>
      <x:c r="H4" s="20" t="e">
        <x:f>GOOGLEFINANCE("GOOGL","pe")</x:f>
        <x:v>#NAME?</x:v>
      </x:c>
      <x:c r="I4" s="13" t="n">
        <x:v>0.076</x:v>
      </x:c>
      <x:c r="J4" s="21" t="n">
        <x:f>IFERROR(D4*E4,"")</x:f>
        <x:v>0</x:v>
      </x:c>
      <x:c r="K4" s="21" t="n">
        <x:f>IFERROR(G4-J4,"")</x:f>
        <x:v>0</x:v>
      </x:c>
      <x:c r="L4" s="22" t="str">
        <x:f>IFERROR(K4/J4,"")</x:f>
      </x:c>
      <x:c r="M4" s="8" t="str">
        <x:v>Hold</x:v>
      </x:c>
      <x:c r="N4" s="8" t="str">
        <x:v>Q4 2024</x:v>
      </x:c>
      <x:c r="O4" s="8" t="str">
        <x:v>Search monopoly + YouTube + Google Cloud. Bought at what Smith called 'bargain' prices.</x:v>
      </x:c>
    </x:row>
    <x:row r="5">
      <x:c r="A5" s="8" t="str">
        <x:v>NVDA</x:v>
      </x:c>
      <x:c r="B5" s="8" t="str">
        <x:v>NVIDIA</x:v>
      </x:c>
      <x:c r="C5" s="8" t="str">
        <x:v>NVIDIA designs GPUs, AI accelerators, networking, software, and systems for data centers, gaming, and professional visualization.</x:v>
      </x:c>
      <x:c r="D5" s="14"/>
      <x:c r="E5" s="18"/>
      <x:c r="F5" s="19" t="e">
        <x:f>GOOGLEFINANCE("NVDA","price")</x:f>
        <x:v>#NAME?</x:v>
      </x:c>
      <x:c r="G5" s="19" t="str">
        <x:f>IFERROR(D5*F5,"")</x:f>
      </x:c>
      <x:c r="H5" s="20" t="e">
        <x:f>GOOGLEFINANCE("NVDA","pe")</x:f>
        <x:v>#NAME?</x:v>
      </x:c>
      <x:c r="I5" s="13" t="n">
        <x:v>0.068</x:v>
      </x:c>
      <x:c r="J5" s="21" t="n">
        <x:f>IFERROR(D5*E5,"")</x:f>
        <x:v>0</x:v>
      </x:c>
      <x:c r="K5" s="21" t="n">
        <x:f>IFERROR(G5-J5,"")</x:f>
        <x:v>0</x:v>
      </x:c>
      <x:c r="L5" s="22" t="str">
        <x:f>IFERROR(K5/J5,"")</x:f>
      </x:c>
      <x:c r="M5" s="8" t="str">
        <x:v>Add</x:v>
      </x:c>
      <x:c r="N5" s="8" t="str">
        <x:v>Q4 2024</x:v>
      </x:c>
      <x:c r="O5" s="8" t="str">
        <x:v>Added throughout 2024. CUDA ecosystem is the key moat. Best ROIC in semiconductors.</x:v>
      </x:c>
    </x:row>
    <x:row r="6">
      <x:c r="A6" s="8" t="str">
        <x:v>LLY</x:v>
      </x:c>
      <x:c r="B6" s="8" t="str">
        <x:v>Eli Lilly</x:v>
      </x:c>
      <x:c r="C6" s="8" t="str">
        <x:v>Eli Lilly develops and markets pharmaceuticals, including diabetes, obesity, oncology, immunology, and neuroscience drugs.</x:v>
      </x:c>
      <x:c r="D6" s="14"/>
      <x:c r="E6" s="18"/>
      <x:c r="F6" s="19" t="e">
        <x:f>GOOGLEFINANCE("LLY","price")</x:f>
        <x:v>#NAME?</x:v>
      </x:c>
      <x:c r="G6" s="19" t="str">
        <x:f>IFERROR(D6*F6,"")</x:f>
      </x:c>
      <x:c r="H6" s="20" t="e">
        <x:f>GOOGLEFINANCE("LLY","pe")</x:f>
        <x:v>#NAME?</x:v>
      </x:c>
      <x:c r="I6" s="13" t="n">
        <x:v>0.064</x:v>
      </x:c>
      <x:c r="J6" s="21" t="n">
        <x:f>IFERROR(D6*E6,"")</x:f>
        <x:v>0</x:v>
      </x:c>
      <x:c r="K6" s="21" t="n">
        <x:f>IFERROR(G6-J6,"")</x:f>
        <x:v>0</x:v>
      </x:c>
      <x:c r="L6" s="22" t="str">
        <x:f>IFERROR(K6/J6,"")</x:f>
      </x:c>
      <x:c r="M6" s="8" t="str">
        <x:v>Hold</x:v>
      </x:c>
      <x:c r="N6" s="8" t="str">
        <x:v>Q4 2024</x:v>
      </x:c>
      <x:c r="O6" s="8" t="str">
        <x:v>GLP-1 (Mounjaro/Zepbound) dominance. Pipeline depth. Pricing power in pharma.</x:v>
      </x:c>
    </x:row>
    <x:row r="7">
      <x:c r="A7" s="8" t="str">
        <x:v>IDEXY</x:v>
      </x:c>
      <x:c r="B7" s="8" t="str">
        <x:v>IDEXX Laboratories</x:v>
      </x:c>
      <x:c r="C7" s="8" t="str">
        <x:v>IDEXX Laboratories operates in the Healthcare sector. Review company filings for a precise business description.</x:v>
      </x:c>
      <x:c r="D7" s="14"/>
      <x:c r="E7" s="18"/>
      <x:c r="F7" s="19" t="e">
        <x:f>GOOGLEFINANCE("IDEXY","price")</x:f>
        <x:v>#NAME?</x:v>
      </x:c>
      <x:c r="G7" s="19" t="str">
        <x:f>IFERROR(D7*F7,"")</x:f>
      </x:c>
      <x:c r="H7" s="20" t="e">
        <x:f>GOOGLEFINANCE("IDEXY","pe")</x:f>
        <x:v>#NAME?</x:v>
      </x:c>
      <x:c r="I7" s="13" t="n">
        <x:v>0.059000000000000004</x:v>
      </x:c>
      <x:c r="J7" s="21" t="n">
        <x:f>IFERROR(D7*E7,"")</x:f>
        <x:v>0</x:v>
      </x:c>
      <x:c r="K7" s="21" t="n">
        <x:f>IFERROR(G7-J7,"")</x:f>
        <x:v>0</x:v>
      </x:c>
      <x:c r="L7" s="22" t="str">
        <x:f>IFERROR(K7/J7,"")</x:f>
      </x:c>
      <x:c r="M7" s="8" t="str">
        <x:v>Hold</x:v>
      </x:c>
      <x:c r="N7" s="8" t="str">
        <x:v>Q4 2024</x:v>
      </x:c>
      <x:c r="O7" s="8" t="str">
        <x:v>Veterinary diagnostics monopoly. Recurring consumables. Classic Fundsmith 'picks and shovels' moat.</x:v>
      </x:c>
    </x:row>
    <x:row r="8">
      <x:c r="A8" s="8" t="str">
        <x:v>POOL</x:v>
      </x:c>
      <x:c r="B8" s="8" t="str">
        <x:v>Pool Corporation</x:v>
      </x:c>
      <x:c r="C8" s="8" t="str">
        <x:v>Pool Corporation operates in the Industrials sector. Review company filings for a precise business description.</x:v>
      </x:c>
      <x:c r="D8" s="14"/>
      <x:c r="E8" s="18"/>
      <x:c r="F8" s="19" t="e">
        <x:f>GOOGLEFINANCE("POOL","price")</x:f>
        <x:v>#NAME?</x:v>
      </x:c>
      <x:c r="G8" s="19" t="str">
        <x:f>IFERROR(D8*F8,"")</x:f>
      </x:c>
      <x:c r="H8" s="20" t="e">
        <x:f>GOOGLEFINANCE("POOL","pe")</x:f>
        <x:v>#NAME?</x:v>
      </x:c>
      <x:c r="I8" s="13" t="n">
        <x:v>0.051</x:v>
      </x:c>
      <x:c r="J8" s="21" t="n">
        <x:f>IFERROR(D8*E8,"")</x:f>
        <x:v>0</x:v>
      </x:c>
      <x:c r="K8" s="21" t="n">
        <x:f>IFERROR(G8-J8,"")</x:f>
        <x:v>0</x:v>
      </x:c>
      <x:c r="L8" s="22" t="str">
        <x:f>IFERROR(K8/J8,"")</x:f>
      </x:c>
      <x:c r="M8" s="8" t="str">
        <x:v>Hold</x:v>
      </x:c>
      <x:c r="N8" s="8" t="str">
        <x:v>Q4 2024</x:v>
      </x:c>
      <x:c r="O8" s="8" t="str">
        <x:v>Pool supply distribution monopoly. 60% market share. Recurring maintenance consumables.</x:v>
      </x:c>
    </x:row>
    <x:row r="9">
      <x:c r="A9" s="8" t="str">
        <x:v>ADP</x:v>
      </x:c>
      <x:c r="B9" s="8" t="str">
        <x:v>Automatic Data Processing</x:v>
      </x:c>
      <x:c r="C9" s="8" t="str">
        <x:v>Automatic Data Processing operates in the Technology sector. Review company filings for a precise business description.</x:v>
      </x:c>
      <x:c r="D9" s="14"/>
      <x:c r="E9" s="18"/>
      <x:c r="F9" s="19" t="e">
        <x:f>GOOGLEFINANCE("ADP","price")</x:f>
        <x:v>#NAME?</x:v>
      </x:c>
      <x:c r="G9" s="19" t="str">
        <x:f>IFERROR(D9*F9,"")</x:f>
      </x:c>
      <x:c r="H9" s="20" t="e">
        <x:f>GOOGLEFINANCE("ADP","pe")</x:f>
        <x:v>#NAME?</x:v>
      </x:c>
      <x:c r="I9" s="13" t="n">
        <x:v>0.048</x:v>
      </x:c>
      <x:c r="J9" s="21" t="n">
        <x:f>IFERROR(D9*E9,"")</x:f>
        <x:v>0</x:v>
      </x:c>
      <x:c r="K9" s="21" t="n">
        <x:f>IFERROR(G9-J9,"")</x:f>
        <x:v>0</x:v>
      </x:c>
      <x:c r="L9" s="22" t="str">
        <x:f>IFERROR(K9/J9,"")</x:f>
      </x:c>
      <x:c r="M9" s="8" t="str">
        <x:v>Hold</x:v>
      </x:c>
      <x:c r="N9" s="8" t="str">
        <x:v>Q4 2024</x:v>
      </x:c>
      <x:c r="O9" s="8" t="str">
        <x:v>Payroll processing with massive switching costs. Float income. Boring but exceptional compounder.</x:v>
      </x:c>
    </x:row>
    <x:row r="10">
      <x:c r="A10" s="8" t="str">
        <x:v>ODFL</x:v>
      </x:c>
      <x:c r="B10" s="8" t="str">
        <x:v>Old Dominion Freight</x:v>
      </x:c>
      <x:c r="C10" s="8" t="str">
        <x:v>Old Dominion Freight operates in the Industrials sector. Review company filings for a precise business description.</x:v>
      </x:c>
      <x:c r="D10" s="14"/>
      <x:c r="E10" s="18"/>
      <x:c r="F10" s="19" t="e">
        <x:f>GOOGLEFINANCE("ODFL","price")</x:f>
        <x:v>#NAME?</x:v>
      </x:c>
      <x:c r="G10" s="19" t="str">
        <x:f>IFERROR(D10*F10,"")</x:f>
      </x:c>
      <x:c r="H10" s="20" t="e">
        <x:f>GOOGLEFINANCE("ODFL","pe")</x:f>
        <x:v>#NAME?</x:v>
      </x:c>
      <x:c r="I10" s="13" t="n">
        <x:v>0.042</x:v>
      </x:c>
      <x:c r="J10" s="21" t="n">
        <x:f>IFERROR(D10*E10,"")</x:f>
        <x:v>0</x:v>
      </x:c>
      <x:c r="K10" s="21" t="n">
        <x:f>IFERROR(G10-J10,"")</x:f>
        <x:v>0</x:v>
      </x:c>
      <x:c r="L10" s="22" t="str">
        <x:f>IFERROR(K10/J10,"")</x:f>
      </x:c>
      <x:c r="M10" s="8" t="str">
        <x:v>Hold</x:v>
      </x:c>
      <x:c r="N10" s="8" t="str">
        <x:v>Q4 2024</x:v>
      </x:c>
      <x:c r="O10" s="8" t="str">
        <x:v>Best-in-class LTL trucking with highest margins in industry. Service quality moat.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889999866485596" hidden="0" customWidth="1"/>
    <x:col min="2" max="2" width="20.559999465942383" hidden="0" customWidth="1"/>
    <x:col min="3" max="3" width="50" hidden="0" customWidth="1"/>
    <x:col min="4" max="4" width="7.889999866485596" hidden="0" customWidth="1"/>
    <x:col min="5" max="5" width="13.329999923706055" hidden="0" customWidth="1"/>
    <x:col min="6" max="6" width="6.329999923706055" hidden="0" customWidth="1"/>
    <x:col min="7" max="7" width="8.779999732971191" hidden="0" customWidth="1"/>
    <x:col min="8" max="8" width="7.110000133514404" hidden="0" customWidth="1"/>
    <x:col min="9" max="9" width="12.4399995803833" hidden="0" customWidth="1"/>
    <x:col min="10" max="10" width="7.670000076293945" hidden="0" customWidth="1"/>
    <x:col min="11" max="11" width="11.4399995803833" hidden="0" customWidth="1"/>
    <x:col min="12" max="12" width="5.670000076293945" hidden="0" customWidth="1"/>
    <x:col min="13" max="13" width="5.559999942779541" hidden="0" customWidth="1"/>
    <x:col min="14" max="14" width="6.110000133514404" hidden="0" customWidth="1"/>
    <x:col min="15" max="15" width="60" hidden="0" customWidth="1"/>
  </x:cols>
  <x:sheetData>
    <x:row r="1" ht="36" customHeight="1">
      <x:c r="A1" s="12" t="str">
        <x:v>Ticker</x:v>
      </x:c>
      <x:c r="B1" s="12" t="str">
        <x:v>Company</x:v>
      </x:c>
      <x:c r="C1" s="12" t="str">
        <x:v>What the company does</x:v>
      </x:c>
      <x:c r="D1" s="12" t="str">
        <x:v>Shares</x:v>
      </x:c>
      <x:c r="E1" s="12" t="str">
        <x:v>Average Unit Cost</x:v>
      </x:c>
      <x:c r="F1" s="12" t="str">
        <x:v>Price</x:v>
      </x:c>
      <x:c r="G1" s="12" t="str">
        <x:v>Total Equity</x:v>
      </x:c>
      <x:c r="H1" s="12" t="str">
        <x:v>P/E Ratio</x:v>
      </x:c>
      <x:c r="I1" s="12" t="str">
        <x:v>Portfolio Percent</x:v>
      </x:c>
      <x:c r="J1" s="12" t="str">
        <x:v>Total Cost</x:v>
      </x:c>
      <x:c r="K1" s="12" t="str">
        <x:v>Total Gain/Loss</x:v>
      </x:c>
      <x:c r="L1" s="12" t="str">
        <x:v>% Gain</x:v>
      </x:c>
      <x:c r="M1" s="12" t="str">
        <x:v>Action</x:v>
      </x:c>
      <x:c r="N1" s="12" t="str">
        <x:v>Quarter</x:v>
      </x:c>
      <x:c r="O1" s="12" t="str">
        <x:v>Source / Notes</x:v>
      </x:c>
    </x:row>
    <x:row r="2">
      <x:c r="A2" s="8" t="str">
        <x:v>HCC</x:v>
      </x:c>
      <x:c r="B2" s="8" t="str">
        <x:v>Warrior Met Coal</x:v>
      </x:c>
      <x:c r="C2" s="8" t="str">
        <x:v>Warrior Met Coal produces metallurgical coal used in steelmaking.</x:v>
      </x:c>
      <x:c r="D2" s="14" t="n">
        <x:v>1744050</x:v>
      </x:c>
      <x:c r="E2" s="18"/>
      <x:c r="F2" s="19" t="e">
        <x:f>GOOGLEFINANCE("HCC","price")</x:f>
        <x:v>#NAME?</x:v>
      </x:c>
      <x:c r="G2" s="19" t="str">
        <x:f>IFERROR(D2*F2,"")</x:f>
      </x:c>
      <x:c r="H2" s="20" t="e">
        <x:f>GOOGLEFINANCE("HCC","pe")</x:f>
        <x:v>#NAME?</x:v>
      </x:c>
      <x:c r="I2" s="13" t="n">
        <x:v>0.43320000000000003</x:v>
      </x:c>
      <x:c r="J2" s="21" t="n">
        <x:f>IFERROR(D2*E2,"")</x:f>
        <x:v>0</x:v>
      </x:c>
      <x:c r="K2" s="21" t="n">
        <x:f>IFERROR(G2-J2,"")</x:f>
        <x:v>0</x:v>
      </x:c>
      <x:c r="L2" s="22" t="str">
        <x:f>IFERROR(K2/J2,"")</x:f>
      </x:c>
      <x:c r="M2" s="8" t="str">
        <x:v>Reduce</x:v>
      </x:c>
      <x:c r="N2" s="8" t="str">
        <x:v>Q2 2026</x:v>
      </x:c>
      <x:c r="O2" s="8" t="str">
        <x:v>Reduce is based on the reported share-count change from the preceding 13-F. The filing does not disclose the investor's thesis or exact trade price.</x:v>
      </x:c>
    </x:row>
    <x:row r="3">
      <x:c r="A3" s="8" t="str">
        <x:v>RIG</x:v>
      </x:c>
      <x:c r="B3" s="8" t="str">
        <x:v>Transocean</x:v>
      </x:c>
      <x:c r="C3" s="8" t="str">
        <x:v>Transocean provides offshore contract drilling services for oil and gas producers.</x:v>
      </x:c>
      <x:c r="D3" s="14" t="n">
        <x:v>20398659</x:v>
      </x:c>
      <x:c r="E3" s="18"/>
      <x:c r="F3" s="19" t="e">
        <x:f>GOOGLEFINANCE("RIG","price")</x:f>
        <x:v>#NAME?</x:v>
      </x:c>
      <x:c r="G3" s="19" t="str">
        <x:f>IFERROR(D3*F3,"")</x:f>
      </x:c>
      <x:c r="H3" s="20" t="e">
        <x:f>GOOGLEFINANCE("RIG","pe")</x:f>
        <x:v>#NAME?</x:v>
      </x:c>
      <x:c r="I3" s="13" t="n">
        <x:v>0.3053</x:v>
      </x:c>
      <x:c r="J3" s="21" t="n">
        <x:f>IFERROR(D3*E3,"")</x:f>
        <x:v>0</x:v>
      </x:c>
      <x:c r="K3" s="21" t="n">
        <x:f>IFERROR(G3-J3,"")</x:f>
        <x:v>0</x:v>
      </x:c>
      <x:c r="L3" s="22" t="str">
        <x:f>IFERROR(K3/J3,"")</x:f>
      </x:c>
      <x:c r="M3" s="8" t="str">
        <x:v>Add</x:v>
      </x:c>
      <x:c r="N3" s="8" t="str">
        <x:v>Q2 2026</x:v>
      </x:c>
      <x:c r="O3" s="8" t="str">
        <x:v>Add is based on the reported share-count change from the preceding 13-F. The filing does not disclose the investor's thesis or exact trade price.</x:v>
      </x:c>
    </x:row>
    <x:row r="4">
      <x:c r="A4" s="8" t="str">
        <x:v>AMR</x:v>
      </x:c>
      <x:c r="B4" s="8" t="str">
        <x:v>Alpha Metallurgical Resources</x:v>
      </x:c>
      <x:c r="C4" s="8" t="str">
        <x:v>Alpha Metallurgical Resources produces metallurgical coal for steelmaking.</x:v>
      </x:c>
      <x:c r="D4" s="14" t="n">
        <x:v>517194.00000000006</x:v>
      </x:c>
      <x:c r="E4" s="18"/>
      <x:c r="F4" s="19" t="e">
        <x:f>GOOGLEFINANCE("AMR","price")</x:f>
        <x:v>#NAME?</x:v>
      </x:c>
      <x:c r="G4" s="19" t="str">
        <x:f>IFERROR(D4*F4,"")</x:f>
      </x:c>
      <x:c r="H4" s="20" t="e">
        <x:f>GOOGLEFINANCE("AMR","pe")</x:f>
        <x:v>#NAME?</x:v>
      </x:c>
      <x:c r="I4" s="13" t="n">
        <x:v>0.2611</x:v>
      </x:c>
      <x:c r="J4" s="21" t="n">
        <x:f>IFERROR(D4*E4,"")</x:f>
        <x:v>0</x:v>
      </x:c>
      <x:c r="K4" s="21" t="n">
        <x:f>IFERROR(G4-J4,"")</x:f>
        <x:v>0</x:v>
      </x:c>
      <x:c r="L4" s="22" t="str">
        <x:f>IFERROR(K4/J4,"")</x:f>
      </x:c>
      <x:c r="M4" s="8" t="str">
        <x:v>Reduce</x:v>
      </x:c>
      <x:c r="N4" s="8" t="str">
        <x:v>Q2 2026</x:v>
      </x:c>
      <x:c r="O4" s="8" t="str">
        <x:v>Reduce is based on the reported share-count change from the preceding 13-F. The filing does not disclose the investor's thesis or exact trade price.</x:v>
      </x:c>
    </x:row>
    <x:row r="5">
      <x:c r="A5" s="8" t="str">
        <x:v>KSPI</x:v>
      </x:c>
      <x:c r="B5" s="8" t="str">
        <x:v>Kaspi.kz ADR</x:v>
      </x:c>
      <x:c r="C5" s="8" t="str">
        <x:v>Kaspi.kz operates a Kazakhstan-centered payments, marketplace, and fintech ecosystem.</x:v>
      </x:c>
      <x:c r="D5" s="14" t="n">
        <x:v>1702</x:v>
      </x:c>
      <x:c r="E5" s="18"/>
      <x:c r="F5" s="19" t="e">
        <x:f>GOOGLEFINANCE("KSPI","price")</x:f>
        <x:v>#NAME?</x:v>
      </x:c>
      <x:c r="G5" s="19" t="str">
        <x:f>IFERROR(D5*F5,"")</x:f>
      </x:c>
      <x:c r="H5" s="20" t="e">
        <x:f>GOOGLEFINANCE("KSPI","pe")</x:f>
        <x:v>#NAME?</x:v>
      </x:c>
      <x:c r="I5" s="13" t="n">
        <x:v>0.0005</x:v>
      </x:c>
      <x:c r="J5" s="21" t="n">
        <x:f>IFERROR(D5*E5,"")</x:f>
        <x:v>0</x:v>
      </x:c>
      <x:c r="K5" s="21" t="n">
        <x:f>IFERROR(G5-J5,"")</x:f>
        <x:v>0</x:v>
      </x:c>
      <x:c r="L5" s="22" t="str">
        <x:f>IFERROR(K5/J5,"")</x:f>
      </x:c>
      <x:c r="M5" s="8" t="str">
        <x:v>New</x:v>
      </x:c>
      <x:c r="N5" s="8" t="str">
        <x:v>Q2 2026</x:v>
      </x:c>
      <x:c r="O5" s="8" t="str">
        <x:v>New is based on the reported share-count change from the preceding 13-F. The filing does not disclose the investor's thesis or exact trade price.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8000020980835" hidden="0" customWidth="1"/>
    <x:col min="2" max="2" width="23.219999313354492" hidden="0" customWidth="1"/>
    <x:col min="3" max="3" width="50" hidden="0" customWidth="1"/>
    <x:col min="4" max="4" width="7.889999866485596" hidden="0" customWidth="1"/>
    <x:col min="5" max="5" width="13.329999923706055" hidden="0" customWidth="1"/>
    <x:col min="6" max="6" width="6.329999923706055" hidden="0" customWidth="1"/>
    <x:col min="7" max="7" width="8.779999732971191" hidden="0" customWidth="1"/>
    <x:col min="8" max="8" width="7.110000133514404" hidden="0" customWidth="1"/>
    <x:col min="9" max="9" width="12.4399995803833" hidden="0" customWidth="1"/>
    <x:col min="10" max="10" width="7.670000076293945" hidden="0" customWidth="1"/>
    <x:col min="11" max="11" width="11.4399995803833" hidden="0" customWidth="1"/>
    <x:col min="12" max="12" width="5.670000076293945" hidden="0" customWidth="1"/>
    <x:col min="13" max="13" width="5" hidden="0" customWidth="1"/>
    <x:col min="14" max="14" width="6.110000133514404" hidden="0" customWidth="1"/>
    <x:col min="15" max="15" width="60" hidden="0" customWidth="1"/>
  </x:cols>
  <x:sheetData>
    <x:row r="1" ht="36" customHeight="1">
      <x:c r="A1" s="12" t="str">
        <x:v>Ticker</x:v>
      </x:c>
      <x:c r="B1" s="12" t="str">
        <x:v>Company</x:v>
      </x:c>
      <x:c r="C1" s="12" t="str">
        <x:v>What the company does</x:v>
      </x:c>
      <x:c r="D1" s="12" t="str">
        <x:v>Shares</x:v>
      </x:c>
      <x:c r="E1" s="12" t="str">
        <x:v>Average Unit Cost</x:v>
      </x:c>
      <x:c r="F1" s="12" t="str">
        <x:v>Price</x:v>
      </x:c>
      <x:c r="G1" s="12" t="str">
        <x:v>Total Equity</x:v>
      </x:c>
      <x:c r="H1" s="12" t="str">
        <x:v>P/E Ratio</x:v>
      </x:c>
      <x:c r="I1" s="12" t="str">
        <x:v>Portfolio Percent</x:v>
      </x:c>
      <x:c r="J1" s="12" t="str">
        <x:v>Total Cost</x:v>
      </x:c>
      <x:c r="K1" s="12" t="str">
        <x:v>Total Gain/Loss</x:v>
      </x:c>
      <x:c r="L1" s="12" t="str">
        <x:v>% Gain</x:v>
      </x:c>
      <x:c r="M1" s="12" t="str">
        <x:v>Action</x:v>
      </x:c>
      <x:c r="N1" s="12" t="str">
        <x:v>Quarter</x:v>
      </x:c>
      <x:c r="O1" s="12" t="str">
        <x:v>Source / Notes</x:v>
      </x:c>
    </x:row>
    <x:row r="2">
      <x:c r="A2" s="8" t="str">
        <x:v>GOOGL</x:v>
      </x:c>
      <x:c r="B2" s="8" t="str">
        <x:v>Alphabet Class A</x:v>
      </x:c>
      <x:c r="C2" s="8" t="str">
        <x:v>Alphabet Class A represents Alphabet, parent of Google Search, YouTube, Google Cloud, Android, and AI assets.</x:v>
      </x:c>
      <x:c r="D2" s="14" t="n">
        <x:v>2543300</x:v>
      </x:c>
      <x:c r="E2" s="18"/>
      <x:c r="F2" s="19" t="e">
        <x:f>GOOGLEFINANCE("GOOGL","price")</x:f>
        <x:v>#NAME?</x:v>
      </x:c>
      <x:c r="G2" s="19" t="str">
        <x:f>IFERROR(D2*F2,"")</x:f>
      </x:c>
      <x:c r="H2" s="20" t="e">
        <x:f>GOOGLEFINANCE("GOOGL","pe")</x:f>
        <x:v>#NAME?</x:v>
      </x:c>
      <x:c r="I2" s="13" t="n">
        <x:v>0.2455</x:v>
      </x:c>
      <x:c r="J2" s="21" t="n">
        <x:f>IFERROR(D2*E2,"")</x:f>
        <x:v>0</x:v>
      </x:c>
      <x:c r="K2" s="21" t="n">
        <x:f>IFERROR(G2-J2,"")</x:f>
        <x:v>0</x:v>
      </x:c>
      <x:c r="L2" s="22" t="str">
        <x:f>IFERROR(K2/J2,"")</x:f>
      </x:c>
      <x:c r="M2" s="8" t="str">
        <x:v>Hold</x:v>
      </x:c>
      <x:c r="N2" s="8" t="str">
        <x:v>Q2 2026</x:v>
      </x:c>
      <x:c r="O2" s="8" t="str">
        <x:v>Hold is based on the reported share-count change from the preceding 13-F. The filing does not disclose the investor's thesis or exact trade price.</x:v>
      </x:c>
    </x:row>
    <x:row r="3">
      <x:c r="A3" s="8" t="str">
        <x:v>GOOG</x:v>
      </x:c>
      <x:c r="B3" s="8" t="str">
        <x:v>Alphabet Class C</x:v>
      </x:c>
      <x:c r="C3" s="8" t="str">
        <x:v>Alphabet Class C represents Alphabet, parent of Google Search, YouTube, Google Cloud, Android, and AI assets.</x:v>
      </x:c>
      <x:c r="D3" s="14" t="n">
        <x:v>2451300</x:v>
      </x:c>
      <x:c r="E3" s="18"/>
      <x:c r="F3" s="19" t="e">
        <x:f>GOOGLEFINANCE("GOOG","price")</x:f>
        <x:v>#NAME?</x:v>
      </x:c>
      <x:c r="G3" s="19" t="str">
        <x:f>IFERROR(D3*F3,"")</x:f>
      </x:c>
      <x:c r="H3" s="20" t="e">
        <x:f>GOOGLEFINANCE("GOOG","pe")</x:f>
        <x:v>#NAME?</x:v>
      </x:c>
      <x:c r="I3" s="13" t="n">
        <x:v>0.2339</x:v>
      </x:c>
      <x:c r="J3" s="21" t="n">
        <x:f>IFERROR(D3*E3,"")</x:f>
        <x:v>0</x:v>
      </x:c>
      <x:c r="K3" s="21" t="n">
        <x:f>IFERROR(G3-J3,"")</x:f>
        <x:v>0</x:v>
      </x:c>
      <x:c r="L3" s="22" t="str">
        <x:f>IFERROR(K3/J3,"")</x:f>
      </x:c>
      <x:c r="M3" s="8" t="str">
        <x:v>Hold</x:v>
      </x:c>
      <x:c r="N3" s="8" t="str">
        <x:v>Q2 2026</x:v>
      </x:c>
      <x:c r="O3" s="8" t="str">
        <x:v>Hold is based on the reported share-count change from the preceding 13-F. The filing does not disclose the investor's thesis or exact trade price.</x:v>
      </x:c>
    </x:row>
    <x:row r="4">
      <x:c r="A4" s="8" t="str">
        <x:v>PDD</x:v>
      </x:c>
      <x:c r="B4" s="8" t="str">
        <x:v>PDD Holdings ADR</x:v>
      </x:c>
      <x:c r="C4" s="8" t="str">
        <x:v>PDD Holdings operates Pinduoduo and Temu, digital commerce platforms serving Chinese and global consumers.</x:v>
      </x:c>
      <x:c r="D4" s="14" t="n">
        <x:v>10761119</x:v>
      </x:c>
      <x:c r="E4" s="18"/>
      <x:c r="F4" s="19" t="e">
        <x:f>GOOGLEFINANCE("PDD","price")</x:f>
        <x:v>#NAME?</x:v>
      </x:c>
      <x:c r="G4" s="19" t="str">
        <x:f>IFERROR(D4*F4,"")</x:f>
      </x:c>
      <x:c r="H4" s="20" t="e">
        <x:f>GOOGLEFINANCE("PDD","pe")</x:f>
        <x:v>#NAME?</x:v>
      </x:c>
      <x:c r="I4" s="13" t="n">
        <x:v>0.2217</x:v>
      </x:c>
      <x:c r="J4" s="21" t="n">
        <x:f>IFERROR(D4*E4,"")</x:f>
        <x:v>0</x:v>
      </x:c>
      <x:c r="K4" s="21" t="n">
        <x:f>IFERROR(G4-J4,"")</x:f>
        <x:v>0</x:v>
      </x:c>
      <x:c r="L4" s="22" t="str">
        <x:f>IFERROR(K4/J4,"")</x:f>
      </x:c>
      <x:c r="M4" s="8" t="str">
        <x:v>Add</x:v>
      </x:c>
      <x:c r="N4" s="8" t="str">
        <x:v>Q2 2026</x:v>
      </x:c>
      <x:c r="O4" s="8" t="str">
        <x:v>Add is based on the reported share-count change from the preceding 13-F. The filing does not disclose the investor's thesis or exact trade price.</x:v>
      </x:c>
    </x:row>
    <x:row r="5">
      <x:c r="A5" s="8" t="str">
        <x:v>BRK.B</x:v>
      </x:c>
      <x:c r="B5" s="8" t="str">
        <x:v>Berkshire Hathaway Class B</x:v>
      </x:c>
      <x:c r="C5" s="8" t="str">
        <x:v>Berkshire Hathaway is a holding company with insurance, railroads, utilities, manufacturing, services, and equity investments.</x:v>
      </x:c>
      <x:c r="D5" s="14" t="n">
        <x:v>1108318</x:v>
      </x:c>
      <x:c r="E5" s="18"/>
      <x:c r="F5" s="19" t="e">
        <x:f>GOOGLEFINANCE("BRK.B","price")</x:f>
        <x:v>#NAME?</x:v>
      </x:c>
      <x:c r="G5" s="19" t="str">
        <x:f>IFERROR(D5*F5,"")</x:f>
      </x:c>
      <x:c r="H5" s="20" t="e">
        <x:f>GOOGLEFINANCE("BRK.B","pe")</x:f>
        <x:v>#NAME?</x:v>
      </x:c>
      <x:c r="I5" s="13" t="n">
        <x:v>0.14980000000000002</x:v>
      </x:c>
      <x:c r="J5" s="21" t="n">
        <x:f>IFERROR(D5*E5,"")</x:f>
        <x:v>0</x:v>
      </x:c>
      <x:c r="K5" s="21" t="n">
        <x:f>IFERROR(G5-J5,"")</x:f>
        <x:v>0</x:v>
      </x:c>
      <x:c r="L5" s="22" t="str">
        <x:f>IFERROR(K5/J5,"")</x:f>
      </x:c>
      <x:c r="M5" s="8" t="str">
        <x:v>Add</x:v>
      </x:c>
      <x:c r="N5" s="8" t="str">
        <x:v>Q2 2026</x:v>
      </x:c>
      <x:c r="O5" s="8" t="str">
        <x:v>Add is based on the reported share-count change from the preceding 13-F. The filing does not disclose the investor's thesis or exact trade price.</x:v>
      </x:c>
    </x:row>
    <x:row r="6">
      <x:c r="A6" s="8" t="str">
        <x:v>EWBC</x:v>
      </x:c>
      <x:c r="B6" s="8" t="str">
        <x:v>East West Bancorp</x:v>
      </x:c>
      <x:c r="C6" s="8" t="str">
        <x:v>East West Bancorp operates in the Financials sector. Review company filings for a precise business description.</x:v>
      </x:c>
      <x:c r="D6" s="14" t="n">
        <x:v>2776351</x:v>
      </x:c>
      <x:c r="E6" s="18"/>
      <x:c r="F6" s="19" t="e">
        <x:f>GOOGLEFINANCE("EWBC","price")</x:f>
        <x:v>#NAME?</x:v>
      </x:c>
      <x:c r="G6" s="19" t="str">
        <x:f>IFERROR(D6*F6,"")</x:f>
      </x:c>
      <x:c r="H6" s="20" t="e">
        <x:f>GOOGLEFINANCE("EWBC","pe")</x:f>
        <x:v>#NAME?</x:v>
      </x:c>
      <x:c r="I6" s="13" t="n">
        <x:v>0.0968</x:v>
      </x:c>
      <x:c r="J6" s="21" t="n">
        <x:f>IFERROR(D6*E6,"")</x:f>
        <x:v>0</x:v>
      </x:c>
      <x:c r="K6" s="21" t="n">
        <x:f>IFERROR(G6-J6,"")</x:f>
        <x:v>0</x:v>
      </x:c>
      <x:c r="L6" s="22" t="str">
        <x:f>IFERROR(K6/J6,"")</x:f>
      </x:c>
      <x:c r="M6" s="8" t="str">
        <x:v>Hold</x:v>
      </x:c>
      <x:c r="N6" s="8" t="str">
        <x:v>Q2 2026</x:v>
      </x:c>
      <x:c r="O6" s="8" t="str">
        <x:v>Hold is based on the reported share-count change from the preceding 13-F. The filing does not disclose the investor's thesis or exact trade price.</x:v>
      </x:c>
    </x:row>
    <x:row r="7">
      <x:c r="A7" s="8" t="str">
        <x:v>CROX</x:v>
      </x:c>
      <x:c r="B7" s="8" t="str">
        <x:v>Crocs</x:v>
      </x:c>
      <x:c r="C7" s="8" t="str">
        <x:v>Crocs operates in the Consumer Discretionary sector. Review company filings for a precise business description.</x:v>
      </x:c>
      <x:c r="D7" s="14" t="n">
        <x:v>887093</x:v>
      </x:c>
      <x:c r="E7" s="18"/>
      <x:c r="F7" s="19" t="e">
        <x:f>GOOGLEFINANCE("CROX","price")</x:f>
        <x:v>#NAME?</x:v>
      </x:c>
      <x:c r="G7" s="19" t="str">
        <x:f>IFERROR(D7*F7,"")</x:f>
      </x:c>
      <x:c r="H7" s="20" t="e">
        <x:f>GOOGLEFINANCE("CROX","pe")</x:f>
        <x:v>#NAME?</x:v>
      </x:c>
      <x:c r="I7" s="13" t="n">
        <x:v>0.028900000000000002</x:v>
      </x:c>
      <x:c r="J7" s="21" t="n">
        <x:f>IFERROR(D7*E7,"")</x:f>
        <x:v>0</x:v>
      </x:c>
      <x:c r="K7" s="21" t="n">
        <x:f>IFERROR(G7-J7,"")</x:f>
        <x:v>0</x:v>
      </x:c>
      <x:c r="L7" s="22" t="str">
        <x:f>IFERROR(K7/J7,"")</x:f>
      </x:c>
      <x:c r="M7" s="8" t="str">
        <x:v>Hold</x:v>
      </x:c>
      <x:c r="N7" s="8" t="str">
        <x:v>Q2 2026</x:v>
      </x:c>
      <x:c r="O7" s="8" t="str">
        <x:v>Hold is based on the reported share-count change from the preceding 13-F. The filing does not disclose the investor's thesis or exact trade price.</x:v>
      </x:c>
    </x:row>
    <x:row r="8">
      <x:c r="A8" s="8" t="str">
        <x:v>TME</x:v>
      </x:c>
      <x:c r="B8" s="8" t="str">
        <x:v>Tencent Music Entertainment ADR</x:v>
      </x:c>
      <x:c r="C8" s="8" t="str">
        <x:v>Tencent Music Entertainment ADR operates in the Communication Services sector. Review company filings for a precise business description.</x:v>
      </x:c>
      <x:c r="D8" s="14" t="n">
        <x:v>6590836</x:v>
      </x:c>
      <x:c r="E8" s="18"/>
      <x:c r="F8" s="19" t="e">
        <x:f>GOOGLEFINANCE("TME","price")</x:f>
        <x:v>#NAME?</x:v>
      </x:c>
      <x:c r="G8" s="19" t="str">
        <x:f>IFERROR(D8*F8,"")</x:f>
      </x:c>
      <x:c r="H8" s="20" t="e">
        <x:f>GOOGLEFINANCE("TME","pe")</x:f>
        <x:v>#NAME?</x:v>
      </x:c>
      <x:c r="I8" s="13" t="n">
        <x:v>0.0149</x:v>
      </x:c>
      <x:c r="J8" s="21" t="n">
        <x:f>IFERROR(D8*E8,"")</x:f>
        <x:v>0</x:v>
      </x:c>
      <x:c r="K8" s="21" t="n">
        <x:f>IFERROR(G8-J8,"")</x:f>
        <x:v>0</x:v>
      </x:c>
      <x:c r="L8" s="22" t="str">
        <x:f>IFERROR(K8/J8,"")</x:f>
      </x:c>
      <x:c r="M8" s="8" t="str">
        <x:v>Hold</x:v>
      </x:c>
      <x:c r="N8" s="8" t="str">
        <x:v>Q2 2026</x:v>
      </x:c>
      <x:c r="O8" s="8" t="str">
        <x:v>Hold is based on the reported share-count change from the preceding 13-F. The filing does not disclose the investor's thesis or exact trade price.</x:v>
      </x:c>
    </x:row>
    <x:row r="9">
      <x:c r="A9" s="8" t="str">
        <x:v>AAPL</x:v>
      </x:c>
      <x:c r="B9" s="8" t="str">
        <x:v>Apple</x:v>
      </x:c>
      <x:c r="C9" s="8" t="str">
        <x:v>Apple designs iPhones, Macs, iPads, wearables, and services around its consumer technology ecosystem.</x:v>
      </x:c>
      <x:c r="D9" s="14" t="n">
        <x:v>110600</x:v>
      </x:c>
      <x:c r="E9" s="18"/>
      <x:c r="F9" s="19" t="e">
        <x:f>GOOGLEFINANCE("AAPL","price")</x:f>
        <x:v>#NAME?</x:v>
      </x:c>
      <x:c r="G9" s="19" t="str">
        <x:f>IFERROR(D9*F9,"")</x:f>
      </x:c>
      <x:c r="H9" s="20" t="e">
        <x:f>GOOGLEFINANCE("AAPL","pe")</x:f>
        <x:v>#NAME?</x:v>
      </x:c>
      <x:c r="I9" s="13" t="n">
        <x:v>0.0086</x:v>
      </x:c>
      <x:c r="J9" s="21" t="n">
        <x:f>IFERROR(D9*E9,"")</x:f>
        <x:v>0</x:v>
      </x:c>
      <x:c r="K9" s="21" t="n">
        <x:f>IFERROR(G9-J9,"")</x:f>
        <x:v>0</x:v>
      </x:c>
      <x:c r="L9" s="22" t="str">
        <x:f>IFERROR(K9/J9,"")</x:f>
      </x:c>
      <x:c r="M9" s="8" t="str">
        <x:v>Hold</x:v>
      </x:c>
      <x:c r="N9" s="8" t="str">
        <x:v>Q2 2026</x:v>
      </x:c>
      <x:c r="O9" s="8" t="str">
        <x:v>Hold is based on the reported share-count change from the preceding 13-F. The filing does not disclose the investor's thesis or exact trade price.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8000020980835" hidden="0" customWidth="1"/>
    <x:col min="2" max="2" width="20" hidden="0" customWidth="1"/>
    <x:col min="3" max="3" width="50" hidden="0" customWidth="1"/>
    <x:col min="4" max="4" width="7.889999866485596" hidden="0" customWidth="1"/>
    <x:col min="5" max="5" width="13.329999923706055" hidden="0" customWidth="1"/>
    <x:col min="6" max="6" width="6.329999923706055" hidden="0" customWidth="1"/>
    <x:col min="7" max="7" width="8.779999732971191" hidden="0" customWidth="1"/>
    <x:col min="8" max="8" width="7.110000133514404" hidden="0" customWidth="1"/>
    <x:col min="9" max="9" width="12.4399995803833" hidden="0" customWidth="1"/>
    <x:col min="10" max="10" width="7.670000076293945" hidden="0" customWidth="1"/>
    <x:col min="11" max="11" width="11.4399995803833" hidden="0" customWidth="1"/>
    <x:col min="12" max="12" width="5.670000076293945" hidden="0" customWidth="1"/>
    <x:col min="13" max="13" width="5.559999942779541" hidden="0" customWidth="1"/>
    <x:col min="14" max="14" width="6.110000133514404" hidden="0" customWidth="1"/>
    <x:col min="15" max="15" width="60" hidden="0" customWidth="1"/>
  </x:cols>
  <x:sheetData>
    <x:row r="1" ht="36" customHeight="1">
      <x:c r="A1" s="12" t="str">
        <x:v>Ticker</x:v>
      </x:c>
      <x:c r="B1" s="12" t="str">
        <x:v>Company</x:v>
      </x:c>
      <x:c r="C1" s="12" t="str">
        <x:v>What the company does</x:v>
      </x:c>
      <x:c r="D1" s="12" t="str">
        <x:v>Shares</x:v>
      </x:c>
      <x:c r="E1" s="12" t="str">
        <x:v>Average Unit Cost</x:v>
      </x:c>
      <x:c r="F1" s="12" t="str">
        <x:v>Price</x:v>
      </x:c>
      <x:c r="G1" s="12" t="str">
        <x:v>Total Equity</x:v>
      </x:c>
      <x:c r="H1" s="12" t="str">
        <x:v>P/E Ratio</x:v>
      </x:c>
      <x:c r="I1" s="12" t="str">
        <x:v>Portfolio Percent</x:v>
      </x:c>
      <x:c r="J1" s="12" t="str">
        <x:v>Total Cost</x:v>
      </x:c>
      <x:c r="K1" s="12" t="str">
        <x:v>Total Gain/Loss</x:v>
      </x:c>
      <x:c r="L1" s="12" t="str">
        <x:v>% Gain</x:v>
      </x:c>
      <x:c r="M1" s="12" t="str">
        <x:v>Action</x:v>
      </x:c>
      <x:c r="N1" s="12" t="str">
        <x:v>Quarter</x:v>
      </x:c>
      <x:c r="O1" s="12" t="str">
        <x:v>Source / Notes</x:v>
      </x:c>
    </x:row>
    <x:row r="2">
      <x:c r="A2" s="8" t="str">
        <x:v>GE</x:v>
      </x:c>
      <x:c r="B2" s="8" t="str">
        <x:v>GE Aerospace</x:v>
      </x:c>
      <x:c r="C2" s="8" t="str">
        <x:v>GE Aerospace operates in the Industrials sector. Review company filings for a precise business description.</x:v>
      </x:c>
      <x:c r="D2" s="14" t="n">
        <x:v>47428233</x:v>
      </x:c>
      <x:c r="E2" s="18"/>
      <x:c r="F2" s="19" t="e">
        <x:f>GOOGLEFINANCE("GE","price")</x:f>
        <x:v>#NAME?</x:v>
      </x:c>
      <x:c r="G2" s="19" t="str">
        <x:f>IFERROR(D2*F2,"")</x:f>
      </x:c>
      <x:c r="H2" s="20" t="e">
        <x:f>GOOGLEFINANCE("GE","pe")</x:f>
        <x:v>#NAME?</x:v>
      </x:c>
      <x:c r="I2" s="13" t="n">
        <x:v>0.33590000000000003</x:v>
      </x:c>
      <x:c r="J2" s="21" t="n">
        <x:f>IFERROR(D2*E2,"")</x:f>
        <x:v>0</x:v>
      </x:c>
      <x:c r="K2" s="21" t="n">
        <x:f>IFERROR(G2-J2,"")</x:f>
        <x:v>0</x:v>
      </x:c>
      <x:c r="L2" s="22" t="str">
        <x:f>IFERROR(K2/J2,"")</x:f>
      </x:c>
      <x:c r="M2" s="8" t="str">
        <x:v>Reduce</x:v>
      </x:c>
      <x:c r="N2" s="8" t="str">
        <x:v>Q2 2026</x:v>
      </x:c>
      <x:c r="O2" s="8" t="str">
        <x:v>Reduce is based on the reported share-count change from the preceding 13-F. The filing does not disclose the investor's thesis or exact trade price.</x:v>
      </x:c>
    </x:row>
    <x:row r="3">
      <x:c r="A3" s="8" t="str">
        <x:v>V</x:v>
      </x:c>
      <x:c r="B3" s="8" t="str">
        <x:v>Visa</x:v>
      </x:c>
      <x:c r="C3" s="8" t="str">
        <x:v>Visa operates a global electronic payments network connecting consumers, merchants, banks, and fintech partners.</x:v>
      </x:c>
      <x:c r="D3" s="14" t="n">
        <x:v>30494133</x:v>
      </x:c>
      <x:c r="E3" s="18"/>
      <x:c r="F3" s="19" t="e">
        <x:f>GOOGLEFINANCE("V","price")</x:f>
        <x:v>#NAME?</x:v>
      </x:c>
      <x:c r="G3" s="19" t="str">
        <x:f>IFERROR(D3*F3,"")</x:f>
      </x:c>
      <x:c r="H3" s="20" t="e">
        <x:f>GOOGLEFINANCE("V","pe")</x:f>
        <x:v>#NAME?</x:v>
      </x:c>
      <x:c r="I3" s="13" t="n">
        <x:v>0.19829999999999998</x:v>
      </x:c>
      <x:c r="J3" s="21" t="n">
        <x:f>IFERROR(D3*E3,"")</x:f>
        <x:v>0</x:v>
      </x:c>
      <x:c r="K3" s="21" t="n">
        <x:f>IFERROR(G3-J3,"")</x:f>
        <x:v>0</x:v>
      </x:c>
      <x:c r="L3" s="22" t="str">
        <x:f>IFERROR(K3/J3,"")</x:f>
      </x:c>
      <x:c r="M3" s="8" t="str">
        <x:v>Add</x:v>
      </x:c>
      <x:c r="N3" s="8" t="str">
        <x:v>Q2 2026</x:v>
      </x:c>
      <x:c r="O3" s="8" t="str">
        <x:v>Add is based on the reported share-count change from the preceding 13-F. The filing does not disclose the investor's thesis or exact trade price.</x:v>
      </x:c>
    </x:row>
    <x:row r="4">
      <x:c r="A4" s="8" t="str">
        <x:v>MCO</x:v>
      </x:c>
      <x:c r="B4" s="8" t="str">
        <x:v>Moody's</x:v>
      </x:c>
      <x:c r="C4" s="8" t="str">
        <x:v>Moody's operates in the Financials sector. Review company filings for a precise business description.</x:v>
      </x:c>
      <x:c r="D4" s="14" t="n">
        <x:v>14334027</x:v>
      </x:c>
      <x:c r="E4" s="18"/>
      <x:c r="F4" s="19" t="e">
        <x:f>GOOGLEFINANCE("MCO","price")</x:f>
        <x:v>#NAME?</x:v>
      </x:c>
      <x:c r="G4" s="19" t="str">
        <x:f>IFERROR(D4*F4,"")</x:f>
      </x:c>
      <x:c r="H4" s="20" t="e">
        <x:f>GOOGLEFINANCE("MCO","pe")</x:f>
        <x:v>#NAME?</x:v>
      </x:c>
      <x:c r="I4" s="13" t="n">
        <x:v>0.12300000000000001</x:v>
      </x:c>
      <x:c r="J4" s="21" t="n">
        <x:f>IFERROR(D4*E4,"")</x:f>
        <x:v>0</x:v>
      </x:c>
      <x:c r="K4" s="21" t="n">
        <x:f>IFERROR(G4-J4,"")</x:f>
        <x:v>0</x:v>
      </x:c>
      <x:c r="L4" s="22" t="str">
        <x:f>IFERROR(K4/J4,"")</x:f>
      </x:c>
      <x:c r="M4" s="8" t="str">
        <x:v>Hold</x:v>
      </x:c>
      <x:c r="N4" s="8" t="str">
        <x:v>Q2 2026</x:v>
      </x:c>
      <x:c r="O4" s="8" t="str">
        <x:v>Hold is based on the reported share-count change from the preceding 13-F. The filing does not disclose the investor's thesis or exact trade price.</x:v>
      </x:c>
    </x:row>
    <x:row r="5">
      <x:c r="A5" s="8" t="str">
        <x:v>SPGI</x:v>
      </x:c>
      <x:c r="B5" s="8" t="str">
        <x:v>S&amp;P Global</x:v>
      </x:c>
      <x:c r="C5" s="8" t="str">
        <x:v>S&amp;P Global provides credit ratings, benchmarks, market intelligence, indices, and commodity data.</x:v>
      </x:c>
      <x:c r="D5" s="14" t="n">
        <x:v>14081957</x:v>
      </x:c>
      <x:c r="E5" s="18"/>
      <x:c r="F5" s="19" t="e">
        <x:f>GOOGLEFINANCE("SPGI","price")</x:f>
        <x:v>#NAME?</x:v>
      </x:c>
      <x:c r="G5" s="19" t="str">
        <x:f>IFERROR(D5*F5,"")</x:f>
      </x:c>
      <x:c r="H5" s="20" t="e">
        <x:f>GOOGLEFINANCE("SPGI","pe")</x:f>
        <x:v>#NAME?</x:v>
      </x:c>
      <x:c r="I5" s="13" t="n">
        <x:v>0.10869999999999999</x:v>
      </x:c>
      <x:c r="J5" s="21" t="n">
        <x:f>IFERROR(D5*E5,"")</x:f>
        <x:v>0</x:v>
      </x:c>
      <x:c r="K5" s="21" t="n">
        <x:f>IFERROR(G5-J5,"")</x:f>
        <x:v>0</x:v>
      </x:c>
      <x:c r="L5" s="22" t="str">
        <x:f>IFERROR(K5/J5,"")</x:f>
      </x:c>
      <x:c r="M5" s="8" t="str">
        <x:v>Add</x:v>
      </x:c>
      <x:c r="N5" s="8" t="str">
        <x:v>Q2 2026</x:v>
      </x:c>
      <x:c r="O5" s="8" t="str">
        <x:v>Add is based on the reported share-count change from the preceding 13-F. The filing does not disclose the investor's thesis or exact trade price.</x:v>
      </x:c>
    </x:row>
    <x:row r="6">
      <x:c r="A6" s="8" t="str">
        <x:v>CP</x:v>
      </x:c>
      <x:c r="B6" s="8" t="str">
        <x:v>Canadian Pacific Kansas City</x:v>
      </x:c>
      <x:c r="C6" s="8" t="str">
        <x:v>Canadian Pacific Kansas City operates in the Industrials sector. Review company filings for a precise business description.</x:v>
      </x:c>
      <x:c r="D6" s="14" t="n">
        <x:v>45325726</x:v>
      </x:c>
      <x:c r="E6" s="18"/>
      <x:c r="F6" s="19" t="e">
        <x:f>GOOGLEFINANCE("CP","price")</x:f>
        <x:v>#NAME?</x:v>
      </x:c>
      <x:c r="G6" s="19" t="str">
        <x:f>IFERROR(D6*F6,"")</x:f>
      </x:c>
      <x:c r="H6" s="20" t="e">
        <x:f>GOOGLEFINANCE("CP","pe")</x:f>
        <x:v>#NAME?</x:v>
      </x:c>
      <x:c r="I6" s="13" t="n">
        <x:v>0.07440000000000001</x:v>
      </x:c>
      <x:c r="J6" s="21" t="n">
        <x:f>IFERROR(D6*E6,"")</x:f>
        <x:v>0</x:v>
      </x:c>
      <x:c r="K6" s="21" t="n">
        <x:f>IFERROR(G6-J6,"")</x:f>
        <x:v>0</x:v>
      </x:c>
      <x:c r="L6" s="22" t="str">
        <x:f>IFERROR(K6/J6,"")</x:f>
      </x:c>
      <x:c r="M6" s="8" t="str">
        <x:v>Reduce</x:v>
      </x:c>
      <x:c r="N6" s="8" t="str">
        <x:v>Q2 2026</x:v>
      </x:c>
      <x:c r="O6" s="8" t="str">
        <x:v>Reduce is based on the reported share-count change from the preceding 13-F. The filing does not disclose the investor's thesis or exact trade price.</x:v>
      </x:c>
    </x:row>
    <x:row r="7">
      <x:c r="A7" s="8" t="str">
        <x:v>GOOG</x:v>
      </x:c>
      <x:c r="B7" s="8" t="str">
        <x:v>Alphabet Class C</x:v>
      </x:c>
      <x:c r="C7" s="8" t="str">
        <x:v>Alphabet Class C represents Alphabet, parent of Google Search, YouTube, Google Cloud, Android, and AI assets.</x:v>
      </x:c>
      <x:c r="D7" s="14" t="n">
        <x:v>9938819</x:v>
      </x:c>
      <x:c r="E7" s="18"/>
      <x:c r="F7" s="19" t="e">
        <x:f>GOOGLEFINANCE("GOOG","price")</x:f>
        <x:v>#NAME?</x:v>
      </x:c>
      <x:c r="G7" s="19" t="str">
        <x:f>IFERROR(D7*F7,"")</x:f>
      </x:c>
      <x:c r="H7" s="20" t="e">
        <x:f>GOOGLEFINANCE("GOOG","pe")</x:f>
        <x:v>#NAME?</x:v>
      </x:c>
      <x:c r="I7" s="13" t="n">
        <x:v>0.0665</x:v>
      </x:c>
      <x:c r="J7" s="21" t="n">
        <x:f>IFERROR(D7*E7,"")</x:f>
        <x:v>0</x:v>
      </x:c>
      <x:c r="K7" s="21" t="n">
        <x:f>IFERROR(G7-J7,"")</x:f>
        <x:v>0</x:v>
      </x:c>
      <x:c r="L7" s="22" t="str">
        <x:f>IFERROR(K7/J7,"")</x:f>
      </x:c>
      <x:c r="M7" s="8" t="str">
        <x:v>Add</x:v>
      </x:c>
      <x:c r="N7" s="8" t="str">
        <x:v>Q2 2026</x:v>
      </x:c>
      <x:c r="O7" s="8" t="str">
        <x:v>Add is based on the reported share-count change from the preceding 13-F. The filing does not disclose the investor's thesis or exact trade price.</x:v>
      </x:c>
    </x:row>
    <x:row r="8">
      <x:c r="A8" s="8" t="str">
        <x:v>FER</x:v>
      </x:c>
      <x:c r="B8" s="8" t="str">
        <x:v>Ferrovial</x:v>
      </x:c>
      <x:c r="C8" s="8" t="str">
        <x:v>Ferrovial operates in the Industrials sector. Review company filings for a precise business description.</x:v>
      </x:c>
      <x:c r="D8" s="14" t="n">
        <x:v>20940441</x:v>
      </x:c>
      <x:c r="E8" s="18"/>
      <x:c r="F8" s="19" t="e">
        <x:f>GOOGLEFINANCE("FER","price")</x:f>
        <x:v>#NAME?</x:v>
      </x:c>
      <x:c r="G8" s="19" t="str">
        <x:f>IFERROR(D8*F8,"")</x:f>
      </x:c>
      <x:c r="H8" s="20" t="e">
        <x:f>GOOGLEFINANCE("FER","pe")</x:f>
        <x:v>#NAME?</x:v>
      </x:c>
      <x:c r="I8" s="13" t="n">
        <x:v>0.027200000000000002</x:v>
      </x:c>
      <x:c r="J8" s="21" t="n">
        <x:f>IFERROR(D8*E8,"")</x:f>
        <x:v>0</x:v>
      </x:c>
      <x:c r="K8" s="21" t="n">
        <x:f>IFERROR(G8-J8,"")</x:f>
        <x:v>0</x:v>
      </x:c>
      <x:c r="L8" s="22" t="str">
        <x:f>IFERROR(K8/J8,"")</x:f>
      </x:c>
      <x:c r="M8" s="8" t="str">
        <x:v>Add</x:v>
      </x:c>
      <x:c r="N8" s="8" t="str">
        <x:v>Q2 2026</x:v>
      </x:c>
      <x:c r="O8" s="8" t="str">
        <x:v>Add is based on the reported share-count change from the preceding 13-F. The filing does not disclose the investor's thesis or exact trade price.</x:v>
      </x:c>
    </x:row>
    <x:row r="9">
      <x:c r="A9" s="8" t="str">
        <x:v>CNI</x:v>
      </x:c>
      <x:c r="B9" s="8" t="str">
        <x:v>Canadian National Railway</x:v>
      </x:c>
      <x:c r="C9" s="8" t="str">
        <x:v>Canadian National Railway operates in the Industrials sector. Review company filings for a precise business description.</x:v>
      </x:c>
      <x:c r="D9" s="14" t="n">
        <x:v>9433422</x:v>
      </x:c>
      <x:c r="E9" s="18"/>
      <x:c r="F9" s="19" t="e">
        <x:f>GOOGLEFINANCE("CNI","price")</x:f>
        <x:v>#NAME?</x:v>
      </x:c>
      <x:c r="G9" s="19" t="str">
        <x:f>IFERROR(D9*F9,"")</x:f>
      </x:c>
      <x:c r="H9" s="20" t="e">
        <x:f>GOOGLEFINANCE("CNI","pe")</x:f>
        <x:v>#NAME?</x:v>
      </x:c>
      <x:c r="I9" s="13" t="n">
        <x:v>0.0213</x:v>
      </x:c>
      <x:c r="J9" s="21" t="n">
        <x:f>IFERROR(D9*E9,"")</x:f>
        <x:v>0</x:v>
      </x:c>
      <x:c r="K9" s="21" t="n">
        <x:f>IFERROR(G9-J9,"")</x:f>
        <x:v>0</x:v>
      </x:c>
      <x:c r="L9" s="22" t="str">
        <x:f>IFERROR(K9/J9,"")</x:f>
      </x:c>
      <x:c r="M9" s="8" t="str">
        <x:v>Reduce</x:v>
      </x:c>
      <x:c r="N9" s="8" t="str">
        <x:v>Q2 2026</x:v>
      </x:c>
      <x:c r="O9" s="8" t="str">
        <x:v>Reduce is based on the reported share-count change from the preceding 13-F. The filing does not disclose the investor's thesis or exact trade price.</x:v>
      </x:c>
    </x:row>
    <x:row r="10">
      <x:c r="A10" s="8" t="str">
        <x:v>GOOGL</x:v>
      </x:c>
      <x:c r="B10" s="8" t="str">
        <x:v>Alphabet Class A</x:v>
      </x:c>
      <x:c r="C10" s="8" t="str">
        <x:v>Alphabet Class A represents Alphabet, parent of Google Search, YouTube, Google Cloud, Android, and AI assets.</x:v>
      </x:c>
      <x:c r="D10" s="14" t="n">
        <x:v>2457000</x:v>
      </x:c>
      <x:c r="E10" s="18"/>
      <x:c r="F10" s="19" t="e">
        <x:f>GOOGLEFINANCE("GOOGL","price")</x:f>
        <x:v>#NAME?</x:v>
      </x:c>
      <x:c r="G10" s="19" t="str">
        <x:f>IFERROR(D10*F10,"")</x:f>
      </x:c>
      <x:c r="H10" s="20" t="e">
        <x:f>GOOGLEFINANCE("GOOGL","pe")</x:f>
        <x:v>#NAME?</x:v>
      </x:c>
      <x:c r="I10" s="13" t="n">
        <x:v>0.0166</x:v>
      </x:c>
      <x:c r="J10" s="21" t="n">
        <x:f>IFERROR(D10*E10,"")</x:f>
        <x:v>0</x:v>
      </x:c>
      <x:c r="K10" s="21" t="n">
        <x:f>IFERROR(G10-J10,"")</x:f>
        <x:v>0</x:v>
      </x:c>
      <x:c r="L10" s="22" t="str">
        <x:f>IFERROR(K10/J10,"")</x:f>
      </x:c>
      <x:c r="M10" s="8" t="str">
        <x:v>Hold</x:v>
      </x:c>
      <x:c r="N10" s="8" t="str">
        <x:v>Q2 2026</x:v>
      </x:c>
      <x:c r="O10" s="8" t="str">
        <x:v>Hold is based on the reported share-count change from the preceding 13-F. The filing does not disclose the investor's thesis or exact trade price.</x:v>
      </x:c>
    </x:row>
    <x:row r="11">
      <x:c r="A11" s="8" t="str">
        <x:v>MLM</x:v>
      </x:c>
      <x:c r="B11" s="8" t="str">
        <x:v>Martin Marietta Materials</x:v>
      </x:c>
      <x:c r="C11" s="8" t="str">
        <x:v>Martin Marietta Materials operates in the Materials sector. Review company filings for a precise business description.</x:v>
      </x:c>
      <x:c r="D11" s="14" t="n">
        <x:v>1315109</x:v>
      </x:c>
      <x:c r="E11" s="18"/>
      <x:c r="F11" s="19" t="e">
        <x:f>GOOGLEFINANCE("MLM","price")</x:f>
        <x:v>#NAME?</x:v>
      </x:c>
      <x:c r="G11" s="19" t="str">
        <x:f>IFERROR(D11*F11,"")</x:f>
      </x:c>
      <x:c r="H11" s="20" t="e">
        <x:f>GOOGLEFINANCE("MLM","pe")</x:f>
        <x:v>#NAME?</x:v>
      </x:c>
      <x:c r="I11" s="13" t="n">
        <x:v>0.0144</x:v>
      </x:c>
      <x:c r="J11" s="21" t="n">
        <x:f>IFERROR(D11*E11,"")</x:f>
        <x:v>0</x:v>
      </x:c>
      <x:c r="K11" s="21" t="n">
        <x:f>IFERROR(G11-J11,"")</x:f>
        <x:v>0</x:v>
      </x:c>
      <x:c r="L11" s="22" t="str">
        <x:f>IFERROR(K11/J11,"")</x:f>
      </x:c>
      <x:c r="M11" s="8" t="str">
        <x:v>New</x:v>
      </x:c>
      <x:c r="N11" s="8" t="str">
        <x:v>Q2 2026</x:v>
      </x:c>
      <x:c r="O11" s="8" t="str">
        <x:v>New is based on the reported share-count change from the preceding 13-F. The filing does not disclose the investor's thesis or exact trade price.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889999866485596" hidden="0" customWidth="1"/>
    <x:col min="2" max="2" width="20.440000534057617" hidden="0" customWidth="1"/>
    <x:col min="3" max="3" width="50" hidden="0" customWidth="1"/>
    <x:col min="4" max="4" width="7.889999866485596" hidden="0" customWidth="1"/>
    <x:col min="5" max="5" width="13.329999923706055" hidden="0" customWidth="1"/>
    <x:col min="6" max="6" width="6.329999923706055" hidden="0" customWidth="1"/>
    <x:col min="7" max="7" width="8.779999732971191" hidden="0" customWidth="1"/>
    <x:col min="8" max="8" width="7.110000133514404" hidden="0" customWidth="1"/>
    <x:col min="9" max="9" width="12.4399995803833" hidden="0" customWidth="1"/>
    <x:col min="10" max="10" width="7.670000076293945" hidden="0" customWidth="1"/>
    <x:col min="11" max="11" width="11.4399995803833" hidden="0" customWidth="1"/>
    <x:col min="12" max="12" width="5.670000076293945" hidden="0" customWidth="1"/>
    <x:col min="13" max="13" width="5.559999942779541" hidden="0" customWidth="1"/>
    <x:col min="14" max="14" width="6.110000133514404" hidden="0" customWidth="1"/>
    <x:col min="15" max="15" width="60" hidden="0" customWidth="1"/>
  </x:cols>
  <x:sheetData>
    <x:row r="1" ht="36" customHeight="1">
      <x:c r="A1" s="12" t="str">
        <x:v>Ticker</x:v>
      </x:c>
      <x:c r="B1" s="12" t="str">
        <x:v>Company</x:v>
      </x:c>
      <x:c r="C1" s="12" t="str">
        <x:v>What the company does</x:v>
      </x:c>
      <x:c r="D1" s="12" t="str">
        <x:v>Shares</x:v>
      </x:c>
      <x:c r="E1" s="12" t="str">
        <x:v>Average Unit Cost</x:v>
      </x:c>
      <x:c r="F1" s="12" t="str">
        <x:v>Price</x:v>
      </x:c>
      <x:c r="G1" s="12" t="str">
        <x:v>Total Equity</x:v>
      </x:c>
      <x:c r="H1" s="12" t="str">
        <x:v>P/E Ratio</x:v>
      </x:c>
      <x:c r="I1" s="12" t="str">
        <x:v>Portfolio Percent</x:v>
      </x:c>
      <x:c r="J1" s="12" t="str">
        <x:v>Total Cost</x:v>
      </x:c>
      <x:c r="K1" s="12" t="str">
        <x:v>Total Gain/Loss</x:v>
      </x:c>
      <x:c r="L1" s="12" t="str">
        <x:v>% Gain</x:v>
      </x:c>
      <x:c r="M1" s="12" t="str">
        <x:v>Action</x:v>
      </x:c>
      <x:c r="N1" s="12" t="str">
        <x:v>Quarter</x:v>
      </x:c>
      <x:c r="O1" s="12" t="str">
        <x:v>Source / Notes</x:v>
      </x:c>
    </x:row>
    <x:row r="2">
      <x:c r="A2" s="8" t="str">
        <x:v>V</x:v>
      </x:c>
      <x:c r="B2" s="8" t="str">
        <x:v>Visa</x:v>
      </x:c>
      <x:c r="C2" s="8" t="str">
        <x:v>Visa operates a global electronic payments network connecting consumers, merchants, banks, and fintech partners.</x:v>
      </x:c>
      <x:c r="D2" s="14" t="n">
        <x:v>2316250</x:v>
      </x:c>
      <x:c r="E2" s="18"/>
      <x:c r="F2" s="19" t="e">
        <x:f>GOOGLEFINANCE("V","price")</x:f>
        <x:v>#NAME?</x:v>
      </x:c>
      <x:c r="G2" s="19" t="str">
        <x:f>IFERROR(D2*F2,"")</x:f>
      </x:c>
      <x:c r="H2" s="20" t="e">
        <x:f>GOOGLEFINANCE("V","pe")</x:f>
        <x:v>#NAME?</x:v>
      </x:c>
      <x:c r="I2" s="13" t="n">
        <x:v>0.141</x:v>
      </x:c>
      <x:c r="J2" s="21" t="n">
        <x:f>IFERROR(D2*E2,"")</x:f>
        <x:v>0</x:v>
      </x:c>
      <x:c r="K2" s="21" t="n">
        <x:f>IFERROR(G2-J2,"")</x:f>
        <x:v>0</x:v>
      </x:c>
      <x:c r="L2" s="22" t="str">
        <x:f>IFERROR(K2/J2,"")</x:f>
      </x:c>
      <x:c r="M2" s="8" t="str">
        <x:v>Hold</x:v>
      </x:c>
      <x:c r="N2" s="8" t="str">
        <x:v>Q2 2026</x:v>
      </x:c>
      <x:c r="O2" s="8" t="str">
        <x:v>Hold is based on the reported share-count change from the preceding 13-F. The filing does not disclose the investor's thesis or exact trade price.</x:v>
      </x:c>
    </x:row>
    <x:row r="3">
      <x:c r="A3" s="8" t="str">
        <x:v>AMZN</x:v>
      </x:c>
      <x:c r="B3" s="8" t="str">
        <x:v>Amazon</x:v>
      </x:c>
      <x:c r="C3" s="8" t="str">
        <x:v>Amazon operates e-commerce, logistics, advertising, subscriptions, and AWS cloud infrastructure.</x:v>
      </x:c>
      <x:c r="D3" s="14" t="n">
        <x:v>2941700</x:v>
      </x:c>
      <x:c r="E3" s="18"/>
      <x:c r="F3" s="19" t="e">
        <x:f>GOOGLEFINANCE("AMZN","price")</x:f>
        <x:v>#NAME?</x:v>
      </x:c>
      <x:c r="G3" s="19" t="str">
        <x:f>IFERROR(D3*F3,"")</x:f>
      </x:c>
      <x:c r="H3" s="20" t="e">
        <x:f>GOOGLEFINANCE("AMZN","pe")</x:f>
        <x:v>#NAME?</x:v>
      </x:c>
      <x:c r="I3" s="13" t="n">
        <x:v>0.1244</x:v>
      </x:c>
      <x:c r="J3" s="21" t="n">
        <x:f>IFERROR(D3*E3,"")</x:f>
        <x:v>0</x:v>
      </x:c>
      <x:c r="K3" s="21" t="n">
        <x:f>IFERROR(G3-J3,"")</x:f>
        <x:v>0</x:v>
      </x:c>
      <x:c r="L3" s="22" t="str">
        <x:f>IFERROR(K3/J3,"")</x:f>
      </x:c>
      <x:c r="M3" s="8" t="str">
        <x:v>Add</x:v>
      </x:c>
      <x:c r="N3" s="8" t="str">
        <x:v>Q2 2026</x:v>
      </x:c>
      <x:c r="O3" s="8" t="str">
        <x:v>Add is based on the reported share-count change from the preceding 13-F. The filing does not disclose the investor's thesis or exact trade price.</x:v>
      </x:c>
    </x:row>
    <x:row r="4">
      <x:c r="A4" s="8" t="str">
        <x:v>RKT</x:v>
      </x:c>
      <x:c r="B4" s="8" t="str">
        <x:v>Rocket Companies</x:v>
      </x:c>
      <x:c r="C4" s="8" t="str">
        <x:v>Rocket Companies operates in the Financials sector. Review company filings for a precise business description.</x:v>
      </x:c>
      <x:c r="D4" s="14" t="n">
        <x:v>41668774</x:v>
      </x:c>
      <x:c r="E4" s="18"/>
      <x:c r="F4" s="19" t="e">
        <x:f>GOOGLEFINANCE("RKT","price")</x:f>
        <x:v>#NAME?</x:v>
      </x:c>
      <x:c r="G4" s="19" t="str">
        <x:f>IFERROR(D4*F4,"")</x:f>
      </x:c>
      <x:c r="H4" s="20" t="e">
        <x:f>GOOGLEFINANCE("RKT","pe")</x:f>
        <x:v>#NAME?</x:v>
      </x:c>
      <x:c r="I4" s="13" t="n">
        <x:v>0.1165</x:v>
      </x:c>
      <x:c r="J4" s="21" t="n">
        <x:f>IFERROR(D4*E4,"")</x:f>
        <x:v>0</x:v>
      </x:c>
      <x:c r="K4" s="21" t="n">
        <x:f>IFERROR(G4-J4,"")</x:f>
        <x:v>0</x:v>
      </x:c>
      <x:c r="L4" s="22" t="str">
        <x:f>IFERROR(K4/J4,"")</x:f>
      </x:c>
      <x:c r="M4" s="8" t="str">
        <x:v>Add</x:v>
      </x:c>
      <x:c r="N4" s="8" t="str">
        <x:v>Q2 2026</x:v>
      </x:c>
      <x:c r="O4" s="8" t="str">
        <x:v>Add is based on the reported share-count change from the preceding 13-F. The filing does not disclose the investor's thesis or exact trade price.</x:v>
      </x:c>
    </x:row>
    <x:row r="5">
      <x:c r="A5" s="8" t="str">
        <x:v>BLK</x:v>
      </x:c>
      <x:c r="B5" s="8" t="str">
        <x:v>BlackRock</x:v>
      </x:c>
      <x:c r="C5" s="8" t="str">
        <x:v>BlackRock operates in the Financials sector. Review company filings for a precise business description.</x:v>
      </x:c>
      <x:c r="D5" s="14" t="n">
        <x:v>581700</x:v>
      </x:c>
      <x:c r="E5" s="18"/>
      <x:c r="F5" s="19" t="e">
        <x:f>GOOGLEFINANCE("BLK","price")</x:f>
        <x:v>#NAME?</x:v>
      </x:c>
      <x:c r="G5" s="19" t="str">
        <x:f>IFERROR(D5*F5,"")</x:f>
      </x:c>
      <x:c r="H5" s="20" t="e">
        <x:f>GOOGLEFINANCE("BLK","pe")</x:f>
        <x:v>#NAME?</x:v>
      </x:c>
      <x:c r="I5" s="13" t="n">
        <x:v>0.0993</x:v>
      </x:c>
      <x:c r="J5" s="21" t="n">
        <x:f>IFERROR(D5*E5,"")</x:f>
        <x:v>0</x:v>
      </x:c>
      <x:c r="K5" s="21" t="n">
        <x:f>IFERROR(G5-J5,"")</x:f>
        <x:v>0</x:v>
      </x:c>
      <x:c r="L5" s="22" t="str">
        <x:f>IFERROR(K5/J5,"")</x:f>
      </x:c>
      <x:c r="M5" s="8" t="str">
        <x:v>Add</x:v>
      </x:c>
      <x:c r="N5" s="8" t="str">
        <x:v>Q2 2026</x:v>
      </x:c>
      <x:c r="O5" s="8" t="str">
        <x:v>Add is based on the reported share-count change from the preceding 13-F. The filing does not disclose the investor's thesis or exact trade price.</x:v>
      </x:c>
    </x:row>
    <x:row r="6">
      <x:c r="A6" s="8" t="str">
        <x:v>META</x:v>
      </x:c>
      <x:c r="B6" s="8" t="str">
        <x:v>Meta Platforms</x:v>
      </x:c>
      <x:c r="C6" s="8" t="str">
        <x:v>Meta operates Facebook, Instagram, WhatsApp, Threads, advertising platforms, AI infrastructure, and Reality Labs.</x:v>
      </x:c>
      <x:c r="D6" s="14" t="n">
        <x:v>915674</x:v>
      </x:c>
      <x:c r="E6" s="18"/>
      <x:c r="F6" s="19" t="e">
        <x:f>GOOGLEFINANCE("META","price")</x:f>
        <x:v>#NAME?</x:v>
      </x:c>
      <x:c r="G6" s="19" t="str">
        <x:f>IFERROR(D6*F6,"")</x:f>
      </x:c>
      <x:c r="H6" s="20" t="e">
        <x:f>GOOGLEFINANCE("META","pe")</x:f>
        <x:v>#NAME?</x:v>
      </x:c>
      <x:c r="I6" s="13" t="n">
        <x:v>0.0915</x:v>
      </x:c>
      <x:c r="J6" s="21" t="n">
        <x:f>IFERROR(D6*E6,"")</x:f>
        <x:v>0</x:v>
      </x:c>
      <x:c r="K6" s="21" t="n">
        <x:f>IFERROR(G6-J6,"")</x:f>
        <x:v>0</x:v>
      </x:c>
      <x:c r="L6" s="22" t="str">
        <x:f>IFERROR(K6/J6,"")</x:f>
      </x:c>
      <x:c r="M6" s="8" t="str">
        <x:v>Hold</x:v>
      </x:c>
      <x:c r="N6" s="8" t="str">
        <x:v>Q2 2026</x:v>
      </x:c>
      <x:c r="O6" s="8" t="str">
        <x:v>Hold is based on the reported share-count change from the preceding 13-F. The filing does not disclose the investor's thesis or exact trade price.</x:v>
      </x:c>
    </x:row>
    <x:row r="7">
      <x:c r="A7" s="8" t="str">
        <x:v>CRM</x:v>
      </x:c>
      <x:c r="B7" s="8" t="str">
        <x:v>Salesforce</x:v>
      </x:c>
      <x:c r="C7" s="8" t="str">
        <x:v>Salesforce operates in the Technology sector. Review company filings for a precise business description.</x:v>
      </x:c>
      <x:c r="D7" s="14" t="n">
        <x:v>2994509</x:v>
      </x:c>
      <x:c r="E7" s="18"/>
      <x:c r="F7" s="19" t="e">
        <x:f>GOOGLEFINANCE("CRM","price")</x:f>
        <x:v>#NAME?</x:v>
      </x:c>
      <x:c r="G7" s="19" t="str">
        <x:f>IFERROR(D7*F7,"")</x:f>
      </x:c>
      <x:c r="H7" s="20" t="e">
        <x:f>GOOGLEFINANCE("CRM","pe")</x:f>
        <x:v>#NAME?</x:v>
      </x:c>
      <x:c r="I7" s="13" t="n">
        <x:v>0.0833</x:v>
      </x:c>
      <x:c r="J7" s="21" t="n">
        <x:f>IFERROR(D7*E7,"")</x:f>
        <x:v>0</x:v>
      </x:c>
      <x:c r="K7" s="21" t="n">
        <x:f>IFERROR(G7-J7,"")</x:f>
        <x:v>0</x:v>
      </x:c>
      <x:c r="L7" s="22" t="str">
        <x:f>IFERROR(K7/J7,"")</x:f>
      </x:c>
      <x:c r="M7" s="8" t="str">
        <x:v>Hold</x:v>
      </x:c>
      <x:c r="N7" s="8" t="str">
        <x:v>Q2 2026</x:v>
      </x:c>
      <x:c r="O7" s="8" t="str">
        <x:v>Hold is based on the reported share-count change from the preceding 13-F. The filing does not disclose the investor's thesis or exact trade price.</x:v>
      </x:c>
    </x:row>
    <x:row r="8">
      <x:c r="A8" s="8" t="str">
        <x:v>TOST</x:v>
      </x:c>
      <x:c r="B8" s="8" t="str">
        <x:v>Toast</x:v>
      </x:c>
      <x:c r="C8" s="8" t="str">
        <x:v>Toast operates in the Technology sector. Review company filings for a precise business description.</x:v>
      </x:c>
      <x:c r="D8" s="14" t="n">
        <x:v>14134038</x:v>
      </x:c>
      <x:c r="E8" s="18"/>
      <x:c r="F8" s="19" t="e">
        <x:f>GOOGLEFINANCE("TOST","price")</x:f>
        <x:v>#NAME?</x:v>
      </x:c>
      <x:c r="G8" s="19" t="str">
        <x:f>IFERROR(D8*F8,"")</x:f>
      </x:c>
      <x:c r="H8" s="20" t="e">
        <x:f>GOOGLEFINANCE("TOST","pe")</x:f>
        <x:v>#NAME?</x:v>
      </x:c>
      <x:c r="I8" s="13" t="n">
        <x:v>0.0698</x:v>
      </x:c>
      <x:c r="J8" s="21" t="n">
        <x:f>IFERROR(D8*E8,"")</x:f>
        <x:v>0</x:v>
      </x:c>
      <x:c r="K8" s="21" t="n">
        <x:f>IFERROR(G8-J8,"")</x:f>
        <x:v>0</x:v>
      </x:c>
      <x:c r="L8" s="22" t="str">
        <x:f>IFERROR(K8/J8,"")</x:f>
      </x:c>
      <x:c r="M8" s="8" t="str">
        <x:v>Add</x:v>
      </x:c>
      <x:c r="N8" s="8" t="str">
        <x:v>Q2 2026</x:v>
      </x:c>
      <x:c r="O8" s="8" t="str">
        <x:v>Add is based on the reported share-count change from the preceding 13-F. The filing does not disclose the investor's thesis or exact trade price.</x:v>
      </x:c>
    </x:row>
    <x:row r="9">
      <x:c r="A9" s="8" t="str">
        <x:v>KKR</x:v>
      </x:c>
      <x:c r="B9" s="8" t="str">
        <x:v>KKR</x:v>
      </x:c>
      <x:c r="C9" s="8" t="str">
        <x:v>KKR operates in the Financials sector. Review company filings for a precise business description.</x:v>
      </x:c>
      <x:c r="D9" s="14" t="n">
        <x:v>3558200</x:v>
      </x:c>
      <x:c r="E9" s="18"/>
      <x:c r="F9" s="19" t="e">
        <x:f>GOOGLEFINANCE("KKR","price")</x:f>
        <x:v>#NAME?</x:v>
      </x:c>
      <x:c r="G9" s="19" t="str">
        <x:f>IFERROR(D9*F9,"")</x:f>
      </x:c>
      <x:c r="H9" s="20" t="e">
        <x:f>GOOGLEFINANCE("KKR","pe")</x:f>
        <x:v>#NAME?</x:v>
      </x:c>
      <x:c r="I9" s="13" t="n">
        <x:v>0.057999999999999996</x:v>
      </x:c>
      <x:c r="J9" s="21" t="n">
        <x:f>IFERROR(D9*E9,"")</x:f>
        <x:v>0</x:v>
      </x:c>
      <x:c r="K9" s="21" t="n">
        <x:f>IFERROR(G9-J9,"")</x:f>
        <x:v>0</x:v>
      </x:c>
      <x:c r="L9" s="22" t="str">
        <x:f>IFERROR(K9/J9,"")</x:f>
      </x:c>
      <x:c r="M9" s="8" t="str">
        <x:v>Add</x:v>
      </x:c>
      <x:c r="N9" s="8" t="str">
        <x:v>Q2 2026</x:v>
      </x:c>
      <x:c r="O9" s="8" t="str">
        <x:v>Add is based on the reported share-count change from the preceding 13-F. The filing does not disclose the investor's thesis or exact trade price.</x:v>
      </x:c>
    </x:row>
    <x:row r="10">
      <x:c r="A10" s="8" t="str">
        <x:v>SPOT</x:v>
      </x:c>
      <x:c r="B10" s="8" t="str">
        <x:v>Spotify</x:v>
      </x:c>
      <x:c r="C10" s="8" t="str">
        <x:v>Spotify operates in the Communication Services sector. Review company filings for a precise business description.</x:v>
      </x:c>
      <x:c r="D10" s="14" t="n">
        <x:v>526800</x:v>
      </x:c>
      <x:c r="E10" s="18"/>
      <x:c r="F10" s="19" t="e">
        <x:f>GOOGLEFINANCE("SPOT","price")</x:f>
        <x:v>#NAME?</x:v>
      </x:c>
      <x:c r="G10" s="19" t="str">
        <x:f>IFERROR(D10*F10,"")</x:f>
      </x:c>
      <x:c r="H10" s="20" t="e">
        <x:f>GOOGLEFINANCE("SPOT","pe")</x:f>
        <x:v>#NAME?</x:v>
      </x:c>
      <x:c r="I10" s="13" t="n">
        <x:v>0.0429</x:v>
      </x:c>
      <x:c r="J10" s="21" t="n">
        <x:f>IFERROR(D10*E10,"")</x:f>
        <x:v>0</x:v>
      </x:c>
      <x:c r="K10" s="21" t="n">
        <x:f>IFERROR(G10-J10,"")</x:f>
        <x:v>0</x:v>
      </x:c>
      <x:c r="L10" s="22" t="str">
        <x:f>IFERROR(K10/J10,"")</x:f>
      </x:c>
      <x:c r="M10" s="8" t="str">
        <x:v>Add</x:v>
      </x:c>
      <x:c r="N10" s="8" t="str">
        <x:v>Q2 2026</x:v>
      </x:c>
      <x:c r="O10" s="8" t="str">
        <x:v>Add is based on the reported share-count change from the preceding 13-F. The filing does not disclose the investor's thesis or exact trade price.</x:v>
      </x:c>
    </x:row>
    <x:row r="11">
      <x:c r="A11" s="8" t="str">
        <x:v>LLYVK</x:v>
      </x:c>
      <x:c r="B11" s="8" t="str">
        <x:v>Liberty Live Holdings Series C</x:v>
      </x:c>
      <x:c r="C11" s="8" t="str">
        <x:v>Liberty Live Holdings Series C operates in the Communication Services sector. Review company filings for a precise business description.</x:v>
      </x:c>
      <x:c r="D11" s="14" t="n">
        <x:v>2172388</x:v>
      </x:c>
      <x:c r="E11" s="18"/>
      <x:c r="F11" s="19" t="e">
        <x:f>GOOGLEFINANCE("LLYVK","price")</x:f>
        <x:v>#NAME?</x:v>
      </x:c>
      <x:c r="G11" s="19" t="str">
        <x:f>IFERROR(D11*F11,"")</x:f>
      </x:c>
      <x:c r="H11" s="20" t="e">
        <x:f>GOOGLEFINANCE("LLYVK","pe")</x:f>
        <x:v>#NAME?</x:v>
      </x:c>
      <x:c r="I11" s="13" t="n">
        <x:v>0.0407</x:v>
      </x:c>
      <x:c r="J11" s="21" t="n">
        <x:f>IFERROR(D11*E11,"")</x:f>
        <x:v>0</x:v>
      </x:c>
      <x:c r="K11" s="21" t="n">
        <x:f>IFERROR(G11-J11,"")</x:f>
        <x:v>0</x:v>
      </x:c>
      <x:c r="L11" s="22" t="str">
        <x:f>IFERROR(K11/J11,"")</x:f>
      </x:c>
      <x:c r="M11" s="8" t="str">
        <x:v>Reduce</x:v>
      </x:c>
      <x:c r="N11" s="8" t="str">
        <x:v>Q2 2026</x:v>
      </x:c>
      <x:c r="O11" s="8" t="str">
        <x:v>Reduce is based on the reported share-count change from the preceding 13-F. The filing does not disclose the investor's thesis or exact trade price.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889999866485596" hidden="0" customWidth="1"/>
    <x:col min="2" max="2" width="18.780000686645508" hidden="0" customWidth="1"/>
    <x:col min="3" max="3" width="50" hidden="0" customWidth="1"/>
    <x:col min="4" max="4" width="7.110000133514404" hidden="0" customWidth="1"/>
    <x:col min="5" max="5" width="13.329999923706055" hidden="0" customWidth="1"/>
    <x:col min="6" max="6" width="6.329999923706055" hidden="0" customWidth="1"/>
    <x:col min="7" max="7" width="8.779999732971191" hidden="0" customWidth="1"/>
    <x:col min="8" max="8" width="7.110000133514404" hidden="0" customWidth="1"/>
    <x:col min="9" max="9" width="12.4399995803833" hidden="0" customWidth="1"/>
    <x:col min="10" max="10" width="7.670000076293945" hidden="0" customWidth="1"/>
    <x:col min="11" max="11" width="11.4399995803833" hidden="0" customWidth="1"/>
    <x:col min="12" max="12" width="5.670000076293945" hidden="0" customWidth="1"/>
    <x:col min="13" max="13" width="5.559999942779541" hidden="0" customWidth="1"/>
    <x:col min="14" max="14" width="6.110000133514404" hidden="0" customWidth="1"/>
    <x:col min="15" max="15" width="60" hidden="0" customWidth="1"/>
  </x:cols>
  <x:sheetData>
    <x:row r="1" ht="36" customHeight="1">
      <x:c r="A1" s="12" t="str">
        <x:v>Ticker</x:v>
      </x:c>
      <x:c r="B1" s="12" t="str">
        <x:v>Company</x:v>
      </x:c>
      <x:c r="C1" s="12" t="str">
        <x:v>What the company does</x:v>
      </x:c>
      <x:c r="D1" s="12" t="str">
        <x:v>Shares</x:v>
      </x:c>
      <x:c r="E1" s="12" t="str">
        <x:v>Average Unit Cost</x:v>
      </x:c>
      <x:c r="F1" s="12" t="str">
        <x:v>Price</x:v>
      </x:c>
      <x:c r="G1" s="12" t="str">
        <x:v>Total Equity</x:v>
      </x:c>
      <x:c r="H1" s="12" t="str">
        <x:v>P/E Ratio</x:v>
      </x:c>
      <x:c r="I1" s="12" t="str">
        <x:v>Portfolio Percent</x:v>
      </x:c>
      <x:c r="J1" s="12" t="str">
        <x:v>Total Cost</x:v>
      </x:c>
      <x:c r="K1" s="12" t="str">
        <x:v>Total Gain/Loss</x:v>
      </x:c>
      <x:c r="L1" s="12" t="str">
        <x:v>% Gain</x:v>
      </x:c>
      <x:c r="M1" s="12" t="str">
        <x:v>Action</x:v>
      </x:c>
      <x:c r="N1" s="12" t="str">
        <x:v>Quarter</x:v>
      </x:c>
      <x:c r="O1" s="12" t="str">
        <x:v>Source / Notes</x:v>
      </x:c>
    </x:row>
    <x:row r="2">
      <x:c r="A2" s="8" t="str">
        <x:v>GRBK</x:v>
      </x:c>
      <x:c r="B2" s="8" t="str">
        <x:v>Green Brick Partners</x:v>
      </x:c>
      <x:c r="C2" s="8" t="str">
        <x:v>Green Brick Partners operates in the Real Estate sector. Review company filings for a precise business description.</x:v>
      </x:c>
      <x:c r="D2" s="14" t="n">
        <x:v>9467383</x:v>
      </x:c>
      <x:c r="E2" s="18"/>
      <x:c r="F2" s="19" t="e">
        <x:f>GOOGLEFINANCE("GRBK","price")</x:f>
        <x:v>#NAME?</x:v>
      </x:c>
      <x:c r="G2" s="19" t="str">
        <x:f>IFERROR(D2*F2,"")</x:f>
      </x:c>
      <x:c r="H2" s="20" t="e">
        <x:f>GOOGLEFINANCE("GRBK","pe")</x:f>
        <x:v>#NAME?</x:v>
      </x:c>
      <x:c r="I2" s="13" t="n">
        <x:v>0.19390000000000002</x:v>
      </x:c>
      <x:c r="J2" s="21" t="n">
        <x:f>IFERROR(D2*E2,"")</x:f>
        <x:v>0</x:v>
      </x:c>
      <x:c r="K2" s="21" t="n">
        <x:f>IFERROR(G2-J2,"")</x:f>
        <x:v>0</x:v>
      </x:c>
      <x:c r="L2" s="22" t="str">
        <x:f>IFERROR(K2/J2,"")</x:f>
      </x:c>
      <x:c r="M2" s="8" t="str">
        <x:v>Hold</x:v>
      </x:c>
      <x:c r="N2" s="8" t="str">
        <x:v>Q2 2026</x:v>
      </x:c>
      <x:c r="O2" s="8" t="str">
        <x:v>Hold is based on the reported share-count change from the preceding 13-F. The filing does not disclose the investor's thesis or exact trade price.</x:v>
      </x:c>
    </x:row>
    <x:row r="3">
      <x:c r="A3" s="8" t="str">
        <x:v>FLR</x:v>
      </x:c>
      <x:c r="B3" s="8" t="str">
        <x:v>Fluor</x:v>
      </x:c>
      <x:c r="C3" s="8" t="str">
        <x:v>Fluor operates in the Industrials sector. Review company filings for a precise business description.</x:v>
      </x:c>
      <x:c r="D3" s="14" t="n">
        <x:v>4658750</x:v>
      </x:c>
      <x:c r="E3" s="18"/>
      <x:c r="F3" s="19" t="e">
        <x:f>GOOGLEFINANCE("FLR","price")</x:f>
        <x:v>#NAME?</x:v>
      </x:c>
      <x:c r="G3" s="19" t="str">
        <x:f>IFERROR(D3*F3,"")</x:f>
      </x:c>
      <x:c r="H3" s="20" t="e">
        <x:f>GOOGLEFINANCE("FLR","pe")</x:f>
        <x:v>#NAME?</x:v>
      </x:c>
      <x:c r="I3" s="13" t="n">
        <x:v>0.062400000000000004</x:v>
      </x:c>
      <x:c r="J3" s="21" t="n">
        <x:f>IFERROR(D3*E3,"")</x:f>
        <x:v>0</x:v>
      </x:c>
      <x:c r="K3" s="21" t="n">
        <x:f>IFERROR(G3-J3,"")</x:f>
        <x:v>0</x:v>
      </x:c>
      <x:c r="L3" s="22" t="str">
        <x:f>IFERROR(K3/J3,"")</x:f>
      </x:c>
      <x:c r="M3" s="8" t="str">
        <x:v>Reduce</x:v>
      </x:c>
      <x:c r="N3" s="8" t="str">
        <x:v>Q2 2026</x:v>
      </x:c>
      <x:c r="O3" s="8" t="str">
        <x:v>Reduce is based on the reported share-count change from the preceding 13-F. The filing does not disclose the investor's thesis or exact trade price.</x:v>
      </x:c>
    </x:row>
    <x:row r="4">
      <x:c r="A4" s="8" t="str">
        <x:v>CNR</x:v>
      </x:c>
      <x:c r="B4" s="8" t="str">
        <x:v>Core Natural Resources</x:v>
      </x:c>
      <x:c r="C4" s="8" t="str">
        <x:v>Core Natural Resources operates in the Materials sector. Review company filings for a precise business description.</x:v>
      </x:c>
      <x:c r="D4" s="14" t="n">
        <x:v>2283200</x:v>
      </x:c>
      <x:c r="E4" s="18"/>
      <x:c r="F4" s="19" t="e">
        <x:f>GOOGLEFINANCE("CNR","price")</x:f>
        <x:v>#NAME?</x:v>
      </x:c>
      <x:c r="G4" s="19" t="str">
        <x:f>IFERROR(D4*F4,"")</x:f>
      </x:c>
      <x:c r="H4" s="20" t="e">
        <x:f>GOOGLEFINANCE("CNR","pe")</x:f>
        <x:v>#NAME?</x:v>
      </x:c>
      <x:c r="I4" s="13" t="n">
        <x:v>0.0467</x:v>
      </x:c>
      <x:c r="J4" s="21" t="n">
        <x:f>IFERROR(D4*E4,"")</x:f>
        <x:v>0</x:v>
      </x:c>
      <x:c r="K4" s="21" t="n">
        <x:f>IFERROR(G4-J4,"")</x:f>
        <x:v>0</x:v>
      </x:c>
      <x:c r="L4" s="22" t="str">
        <x:f>IFERROR(K4/J4,"")</x:f>
      </x:c>
      <x:c r="M4" s="8" t="str">
        <x:v>Add</x:v>
      </x:c>
      <x:c r="N4" s="8" t="str">
        <x:v>Q2 2026</x:v>
      </x:c>
      <x:c r="O4" s="8" t="str">
        <x:v>Add is based on the reported share-count change from the preceding 13-F. The filing does not disclose the investor's thesis or exact trade price.</x:v>
      </x:c>
    </x:row>
    <x:row r="5">
      <x:c r="A5" s="8" t="str">
        <x:v>BHF</x:v>
      </x:c>
      <x:c r="B5" s="8" t="str">
        <x:v>Brighthouse Financial</x:v>
      </x:c>
      <x:c r="C5" s="8" t="str">
        <x:v>Brighthouse Financial operates in the Financials sector. Review company filings for a precise business description.</x:v>
      </x:c>
      <x:c r="D5" s="14" t="n">
        <x:v>2842100</x:v>
      </x:c>
      <x:c r="E5" s="18"/>
      <x:c r="F5" s="19" t="e">
        <x:f>GOOGLEFINANCE("BHF","price")</x:f>
        <x:v>#NAME?</x:v>
      </x:c>
      <x:c r="G5" s="19" t="str">
        <x:f>IFERROR(D5*F5,"")</x:f>
      </x:c>
      <x:c r="H5" s="20" t="e">
        <x:f>GOOGLEFINANCE("BHF","pe")</x:f>
        <x:v>#NAME?</x:v>
      </x:c>
      <x:c r="I5" s="13" t="n">
        <x:v>0.046</x:v>
      </x:c>
      <x:c r="J5" s="21" t="n">
        <x:f>IFERROR(D5*E5,"")</x:f>
        <x:v>0</x:v>
      </x:c>
      <x:c r="K5" s="21" t="n">
        <x:f>IFERROR(G5-J5,"")</x:f>
        <x:v>0</x:v>
      </x:c>
      <x:c r="L5" s="22" t="str">
        <x:f>IFERROR(K5/J5,"")</x:f>
      </x:c>
      <x:c r="M5" s="8" t="str">
        <x:v>Hold</x:v>
      </x:c>
      <x:c r="N5" s="8" t="str">
        <x:v>Q2 2026</x:v>
      </x:c>
      <x:c r="O5" s="8" t="str">
        <x:v>Hold is based on the reported share-count change from the preceding 13-F. The filing does not disclose the investor's thesis or exact trade price.</x:v>
      </x:c>
    </x:row>
    <x:row r="6">
      <x:c r="A6" s="8" t="str">
        <x:v>ACHC</x:v>
      </x:c>
      <x:c r="B6" s="8" t="str">
        <x:v>Acadia Healthcare</x:v>
      </x:c>
      <x:c r="C6" s="8" t="str">
        <x:v>Acadia Healthcare operates in the Healthcare sector. Review company filings for a precise business description.</x:v>
      </x:c>
      <x:c r="D6" s="14" t="n">
        <x:v>4400641</x:v>
      </x:c>
      <x:c r="E6" s="18"/>
      <x:c r="F6" s="19" t="e">
        <x:f>GOOGLEFINANCE("ACHC","price")</x:f>
        <x:v>#NAME?</x:v>
      </x:c>
      <x:c r="G6" s="19" t="str">
        <x:f>IFERROR(D6*F6,"")</x:f>
      </x:c>
      <x:c r="H6" s="20" t="e">
        <x:f>GOOGLEFINANCE("ACHC","pe")</x:f>
        <x:v>#NAME?</x:v>
      </x:c>
      <x:c r="I6" s="13" t="n">
        <x:v>0.0332</x:v>
      </x:c>
      <x:c r="J6" s="21" t="n">
        <x:f>IFERROR(D6*E6,"")</x:f>
        <x:v>0</x:v>
      </x:c>
      <x:c r="K6" s="21" t="n">
        <x:f>IFERROR(G6-J6,"")</x:f>
        <x:v>0</x:v>
      </x:c>
      <x:c r="L6" s="22" t="str">
        <x:f>IFERROR(K6/J6,"")</x:f>
      </x:c>
      <x:c r="M6" s="8" t="str">
        <x:v>Reduce</x:v>
      </x:c>
      <x:c r="N6" s="8" t="str">
        <x:v>Q2 2026</x:v>
      </x:c>
      <x:c r="O6" s="8" t="str">
        <x:v>Reduce is based on the reported share-count change from the preceding 13-F. The filing does not disclose the investor's thesis or exact trade price.</x:v>
      </x:c>
    </x:row>
    <x:row r="7">
      <x:c r="A7" s="8" t="str">
        <x:v>PENN</x:v>
      </x:c>
      <x:c r="B7" s="8" t="str">
        <x:v>PENN Entertainment</x:v>
      </x:c>
      <x:c r="C7" s="8" t="str">
        <x:v>PENN Entertainment operates in the Consumer Discretionary sector. Review company filings for a precise business description.</x:v>
      </x:c>
      <x:c r="D7" s="14" t="n">
        <x:v>5860270</x:v>
      </x:c>
      <x:c r="E7" s="18"/>
      <x:c r="F7" s="19" t="e">
        <x:f>GOOGLEFINANCE("PENN","price")</x:f>
        <x:v>#NAME?</x:v>
      </x:c>
      <x:c r="G7" s="19" t="str">
        <x:f>IFERROR(D7*F7,"")</x:f>
      </x:c>
      <x:c r="H7" s="20" t="e">
        <x:f>GOOGLEFINANCE("PENN","pe")</x:f>
        <x:v>#NAME?</x:v>
      </x:c>
      <x:c r="I7" s="13" t="n">
        <x:v>0.032</x:v>
      </x:c>
      <x:c r="J7" s="21" t="n">
        <x:f>IFERROR(D7*E7,"")</x:f>
        <x:v>0</x:v>
      </x:c>
      <x:c r="K7" s="21" t="n">
        <x:f>IFERROR(G7-J7,"")</x:f>
        <x:v>0</x:v>
      </x:c>
      <x:c r="L7" s="22" t="str">
        <x:f>IFERROR(K7/J7,"")</x:f>
      </x:c>
      <x:c r="M7" s="8" t="str">
        <x:v>Reduce</x:v>
      </x:c>
      <x:c r="N7" s="8" t="str">
        <x:v>Q2 2026</x:v>
      </x:c>
      <x:c r="O7" s="8" t="str">
        <x:v>Reduce is based on the reported share-count change from the preceding 13-F. The filing does not disclose the investor's thesis or exact trade price.</x:v>
      </x:c>
    </x:row>
    <x:row r="8">
      <x:c r="A8" s="8" t="str">
        <x:v>FBIN</x:v>
      </x:c>
      <x:c r="B8" s="8" t="str">
        <x:v>Fortune Brands Innovations</x:v>
      </x:c>
      <x:c r="C8" s="8" t="str">
        <x:v>Fortune Brands Innovations operates in the Industrials sector. Review company filings for a precise business description.</x:v>
      </x:c>
      <x:c r="D8" s="14" t="n">
        <x:v>2241875</x:v>
      </x:c>
      <x:c r="E8" s="18"/>
      <x:c r="F8" s="19" t="e">
        <x:f>GOOGLEFINANCE("FBIN","price")</x:f>
        <x:v>#NAME?</x:v>
      </x:c>
      <x:c r="G8" s="19" t="str">
        <x:f>IFERROR(D8*F8,"")</x:f>
      </x:c>
      <x:c r="H8" s="20" t="e">
        <x:f>GOOGLEFINANCE("FBIN","pe")</x:f>
        <x:v>#NAME?</x:v>
      </x:c>
      <x:c r="I8" s="13" t="n">
        <x:v>0.0315</x:v>
      </x:c>
      <x:c r="J8" s="21" t="n">
        <x:f>IFERROR(D8*E8,"")</x:f>
        <x:v>0</x:v>
      </x:c>
      <x:c r="K8" s="21" t="n">
        <x:f>IFERROR(G8-J8,"")</x:f>
        <x:v>0</x:v>
      </x:c>
      <x:c r="L8" s="22" t="str">
        <x:f>IFERROR(K8/J8,"")</x:f>
      </x:c>
      <x:c r="M8" s="8" t="str">
        <x:v>New</x:v>
      </x:c>
      <x:c r="N8" s="8" t="str">
        <x:v>Q2 2026</x:v>
      </x:c>
      <x:c r="O8" s="8" t="str">
        <x:v>New is based on the reported share-count change from the preceding 13-F. The filing does not disclose the investor's thesis or exact trade price.</x:v>
      </x:c>
    </x:row>
    <x:row r="9">
      <x:c r="A9" s="8" t="str">
        <x:v>PCG</x:v>
      </x:c>
      <x:c r="B9" s="8" t="str">
        <x:v>PG&amp;E</x:v>
      </x:c>
      <x:c r="C9" s="8" t="str">
        <x:v>PG&amp;E operates in the Utilities sector. Review company filings for a precise business description.</x:v>
      </x:c>
      <x:c r="D9" s="14" t="n">
        <x:v>6632852</x:v>
      </x:c>
      <x:c r="E9" s="18"/>
      <x:c r="F9" s="19" t="e">
        <x:f>GOOGLEFINANCE("PCG","price")</x:f>
        <x:v>#NAME?</x:v>
      </x:c>
      <x:c r="G9" s="19" t="str">
        <x:f>IFERROR(D9*F9,"")</x:f>
      </x:c>
      <x:c r="H9" s="20" t="e">
        <x:f>GOOGLEFINANCE("PCG","pe")</x:f>
        <x:v>#NAME?</x:v>
      </x:c>
      <x:c r="I9" s="13" t="n">
        <x:v>0.0285</x:v>
      </x:c>
      <x:c r="J9" s="21" t="n">
        <x:f>IFERROR(D9*E9,"")</x:f>
        <x:v>0</x:v>
      </x:c>
      <x:c r="K9" s="21" t="n">
        <x:f>IFERROR(G9-J9,"")</x:f>
        <x:v>0</x:v>
      </x:c>
      <x:c r="L9" s="22" t="str">
        <x:f>IFERROR(K9/J9,"")</x:f>
      </x:c>
      <x:c r="M9" s="8" t="str">
        <x:v>Hold</x:v>
      </x:c>
      <x:c r="N9" s="8" t="str">
        <x:v>Q2 2026</x:v>
      </x:c>
      <x:c r="O9" s="8" t="str">
        <x:v>Hold is based on the reported share-count change from the preceding 13-F. The filing does not disclose the investor's thesis or exact trade price.</x:v>
      </x:c>
    </x:row>
    <x:row r="10">
      <x:c r="A10" s="8" t="str">
        <x:v>CNC</x:v>
      </x:c>
      <x:c r="B10" s="8" t="str">
        <x:v>Centene</x:v>
      </x:c>
      <x:c r="C10" s="8" t="str">
        <x:v>Centene operates in the Healthcare sector. Review company filings for a precise business description.</x:v>
      </x:c>
      <x:c r="D10" s="14" t="n">
        <x:v>1651150</x:v>
      </x:c>
      <x:c r="E10" s="18"/>
      <x:c r="F10" s="19" t="e">
        <x:f>GOOGLEFINANCE("CNC","price")</x:f>
        <x:v>#NAME?</x:v>
      </x:c>
      <x:c r="G10" s="19" t="str">
        <x:f>IFERROR(D10*F10,"")</x:f>
      </x:c>
      <x:c r="H10" s="20" t="e">
        <x:f>GOOGLEFINANCE("CNC","pe")</x:f>
        <x:v>#NAME?</x:v>
      </x:c>
      <x:c r="I10" s="13" t="n">
        <x:v>0.0271</x:v>
      </x:c>
      <x:c r="J10" s="21" t="n">
        <x:f>IFERROR(D10*E10,"")</x:f>
        <x:v>0</x:v>
      </x:c>
      <x:c r="K10" s="21" t="n">
        <x:f>IFERROR(G10-J10,"")</x:f>
        <x:v>0</x:v>
      </x:c>
      <x:c r="L10" s="22" t="str">
        <x:f>IFERROR(K10/J10,"")</x:f>
      </x:c>
      <x:c r="M10" s="8" t="str">
        <x:v>Reduce</x:v>
      </x:c>
      <x:c r="N10" s="8" t="str">
        <x:v>Q2 2026</x:v>
      </x:c>
      <x:c r="O10" s="8" t="str">
        <x:v>Reduce is based on the reported share-count change from the preceding 13-F. The filing does not disclose the investor's thesis or exact trade price.</x:v>
      </x:c>
    </x:row>
    <x:row r="11">
      <x:c r="A11" s="8" t="str">
        <x:v>GPK</x:v>
      </x:c>
      <x:c r="B11" s="8" t="str">
        <x:v>Graphic Packaging</x:v>
      </x:c>
      <x:c r="C11" s="8" t="str">
        <x:v>Graphic Packaging operates in the Materials sector. Review company filings for a precise business description.</x:v>
      </x:c>
      <x:c r="D11" s="14" t="n">
        <x:v>9953430</x:v>
      </x:c>
      <x:c r="E11" s="18"/>
      <x:c r="F11" s="19" t="e">
        <x:f>GOOGLEFINANCE("GPK","price")</x:f>
        <x:v>#NAME?</x:v>
      </x:c>
      <x:c r="G11" s="19" t="str">
        <x:f>IFERROR(D11*F11,"")</x:f>
      </x:c>
      <x:c r="H11" s="20" t="e">
        <x:f>GOOGLEFINANCE("GPK","pe")</x:f>
        <x:v>#NAME?</x:v>
      </x:c>
      <x:c r="I11" s="13" t="n">
        <x:v>0.0269</x:v>
      </x:c>
      <x:c r="J11" s="21" t="n">
        <x:f>IFERROR(D11*E11,"")</x:f>
        <x:v>0</x:v>
      </x:c>
      <x:c r="K11" s="21" t="n">
        <x:f>IFERROR(G11-J11,"")</x:f>
        <x:v>0</x:v>
      </x:c>
      <x:c r="L11" s="22" t="str">
        <x:f>IFERROR(K11/J11,"")</x:f>
      </x:c>
      <x:c r="M11" s="8" t="str">
        <x:v>Add</x:v>
      </x:c>
      <x:c r="N11" s="8" t="str">
        <x:v>Q2 2026</x:v>
      </x:c>
      <x:c r="O11" s="8" t="str">
        <x:v>Add is based on the reported share-count change from the preceding 13-F. The filing does not disclose the investor's thesis or exact trade price.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8000020980835" hidden="0" customWidth="1"/>
    <x:col min="2" max="2" width="18.780000686645508" hidden="0" customWidth="1"/>
    <x:col min="3" max="3" width="50" hidden="0" customWidth="1"/>
    <x:col min="4" max="4" width="7.889999866485596" hidden="0" customWidth="1"/>
    <x:col min="5" max="5" width="13.329999923706055" hidden="0" customWidth="1"/>
    <x:col min="6" max="6" width="6.329999923706055" hidden="0" customWidth="1"/>
    <x:col min="7" max="7" width="8.779999732971191" hidden="0" customWidth="1"/>
    <x:col min="8" max="8" width="7.110000133514404" hidden="0" customWidth="1"/>
    <x:col min="9" max="9" width="12.4399995803833" hidden="0" customWidth="1"/>
    <x:col min="10" max="10" width="7.670000076293945" hidden="0" customWidth="1"/>
    <x:col min="11" max="11" width="11.4399995803833" hidden="0" customWidth="1"/>
    <x:col min="12" max="12" width="5.670000076293945" hidden="0" customWidth="1"/>
    <x:col min="13" max="13" width="5.559999942779541" hidden="0" customWidth="1"/>
    <x:col min="14" max="14" width="6.110000133514404" hidden="0" customWidth="1"/>
    <x:col min="15" max="15" width="60" hidden="0" customWidth="1"/>
  </x:cols>
  <x:sheetData>
    <x:row r="1" ht="36" customHeight="1">
      <x:c r="A1" s="12" t="str">
        <x:v>Ticker</x:v>
      </x:c>
      <x:c r="B1" s="12" t="str">
        <x:v>Company</x:v>
      </x:c>
      <x:c r="C1" s="12" t="str">
        <x:v>What the company does</x:v>
      </x:c>
      <x:c r="D1" s="12" t="str">
        <x:v>Shares</x:v>
      </x:c>
      <x:c r="E1" s="12" t="str">
        <x:v>Average Unit Cost</x:v>
      </x:c>
      <x:c r="F1" s="12" t="str">
        <x:v>Price</x:v>
      </x:c>
      <x:c r="G1" s="12" t="str">
        <x:v>Total Equity</x:v>
      </x:c>
      <x:c r="H1" s="12" t="str">
        <x:v>P/E Ratio</x:v>
      </x:c>
      <x:c r="I1" s="12" t="str">
        <x:v>Portfolio Percent</x:v>
      </x:c>
      <x:c r="J1" s="12" t="str">
        <x:v>Total Cost</x:v>
      </x:c>
      <x:c r="K1" s="12" t="str">
        <x:v>Total Gain/Loss</x:v>
      </x:c>
      <x:c r="L1" s="12" t="str">
        <x:v>% Gain</x:v>
      </x:c>
      <x:c r="M1" s="12" t="str">
        <x:v>Action</x:v>
      </x:c>
      <x:c r="N1" s="12" t="str">
        <x:v>Quarter</x:v>
      </x:c>
      <x:c r="O1" s="12" t="str">
        <x:v>Source / Notes</x:v>
      </x:c>
    </x:row>
    <x:row r="2">
      <x:c r="A2" s="8" t="str">
        <x:v>SPY</x:v>
      </x:c>
      <x:c r="B2" s="8" t="str">
        <x:v>SPDR S&amp;P 500 ETF Trust</x:v>
      </x:c>
      <x:c r="C2" s="8" t="str">
        <x:v>SPDR S&amp;P 500 ETF Trust operates in the ETF sector. Review company filings for a precise business description.</x:v>
      </x:c>
      <x:c r="D2" s="14" t="n">
        <x:v>11393386</x:v>
      </x:c>
      <x:c r="E2" s="18"/>
      <x:c r="F2" s="19" t="e">
        <x:f>GOOGLEFINANCE("SPY","price")</x:f>
        <x:v>#NAME?</x:v>
      </x:c>
      <x:c r="G2" s="19" t="str">
        <x:f>IFERROR(D2*F2,"")</x:f>
      </x:c>
      <x:c r="H2" s="20" t="e">
        <x:f>GOOGLEFINANCE("SPY","pe")</x:f>
        <x:v>#NAME?</x:v>
      </x:c>
      <x:c r="I2" s="13" t="n">
        <x:v>0.198</x:v>
      </x:c>
      <x:c r="J2" s="21" t="n">
        <x:f>IFERROR(D2*E2,"")</x:f>
        <x:v>0</x:v>
      </x:c>
      <x:c r="K2" s="21" t="n">
        <x:f>IFERROR(G2-J2,"")</x:f>
        <x:v>0</x:v>
      </x:c>
      <x:c r="L2" s="22" t="str">
        <x:f>IFERROR(K2/J2,"")</x:f>
      </x:c>
      <x:c r="M2" s="8" t="str">
        <x:v>Add</x:v>
      </x:c>
      <x:c r="N2" s="8" t="str">
        <x:v>Q2 2026</x:v>
      </x:c>
      <x:c r="O2" s="8" t="str">
        <x:v>Add is based on the reported share-count change from the preceding 13-F. The filing does not disclose the investor's thesis or exact trade price.</x:v>
      </x:c>
    </x:row>
    <x:row r="3">
      <x:c r="A3" s="8" t="str">
        <x:v>AAPL</x:v>
      </x:c>
      <x:c r="B3" s="8" t="str">
        <x:v>Apple</x:v>
      </x:c>
      <x:c r="C3" s="8" t="str">
        <x:v>Apple designs iPhones, Macs, iPads, wearables, and services around its consumer technology ecosystem.</x:v>
      </x:c>
      <x:c r="D3" s="14" t="n">
        <x:v>2860500</x:v>
      </x:c>
      <x:c r="E3" s="18"/>
      <x:c r="F3" s="19" t="e">
        <x:f>GOOGLEFINANCE("AAPL","price")</x:f>
        <x:v>#NAME?</x:v>
      </x:c>
      <x:c r="G3" s="19" t="str">
        <x:f>IFERROR(D3*F3,"")</x:f>
      </x:c>
      <x:c r="H3" s="20" t="e">
        <x:f>GOOGLEFINANCE("AAPL","pe")</x:f>
        <x:v>#NAME?</x:v>
      </x:c>
      <x:c r="I3" s="13" t="n">
        <x:v>0.019299999999999998</x:v>
      </x:c>
      <x:c r="J3" s="21" t="n">
        <x:f>IFERROR(D3*E3,"")</x:f>
        <x:v>0</x:v>
      </x:c>
      <x:c r="K3" s="21" t="n">
        <x:f>IFERROR(G3-J3,"")</x:f>
        <x:v>0</x:v>
      </x:c>
      <x:c r="L3" s="22" t="str">
        <x:f>IFERROR(K3/J3,"")</x:f>
      </x:c>
      <x:c r="M3" s="8" t="str">
        <x:v>Reduce</x:v>
      </x:c>
      <x:c r="N3" s="8" t="str">
        <x:v>Q2 2026</x:v>
      </x:c>
      <x:c r="O3" s="8" t="str">
        <x:v>Reduce is based on the reported share-count change from the preceding 13-F. The filing does not disclose the investor's thesis or exact trade price.</x:v>
      </x:c>
    </x:row>
    <x:row r="4">
      <x:c r="A4" s="8" t="str">
        <x:v>NVDA</x:v>
      </x:c>
      <x:c r="B4" s="8" t="str">
        <x:v>NVIDIA</x:v>
      </x:c>
      <x:c r="C4" s="8" t="str">
        <x:v>NVIDIA designs GPUs, AI accelerators, networking, software, and systems for data centers, gaming, and professional visualization.</x:v>
      </x:c>
      <x:c r="D4" s="14" t="n">
        <x:v>4018967</x:v>
      </x:c>
      <x:c r="E4" s="18"/>
      <x:c r="F4" s="19" t="e">
        <x:f>GOOGLEFINANCE("NVDA","price")</x:f>
        <x:v>#NAME?</x:v>
      </x:c>
      <x:c r="G4" s="19" t="str">
        <x:f>IFERROR(D4*F4,"")</x:f>
      </x:c>
      <x:c r="H4" s="20" t="e">
        <x:f>GOOGLEFINANCE("NVDA","pe")</x:f>
        <x:v>#NAME?</x:v>
      </x:c>
      <x:c r="I4" s="13" t="n">
        <x:v>0.0187</x:v>
      </x:c>
      <x:c r="J4" s="21" t="n">
        <x:f>IFERROR(D4*E4,"")</x:f>
        <x:v>0</x:v>
      </x:c>
      <x:c r="K4" s="21" t="n">
        <x:f>IFERROR(G4-J4,"")</x:f>
        <x:v>0</x:v>
      </x:c>
      <x:c r="L4" s="22" t="str">
        <x:f>IFERROR(K4/J4,"")</x:f>
      </x:c>
      <x:c r="M4" s="8" t="str">
        <x:v>Reduce</x:v>
      </x:c>
      <x:c r="N4" s="8" t="str">
        <x:v>Q2 2026</x:v>
      </x:c>
      <x:c r="O4" s="8" t="str">
        <x:v>Reduce is based on the reported share-count change from the preceding 13-F. The filing does not disclose the investor's thesis or exact trade price.</x:v>
      </x:c>
    </x:row>
    <x:row r="5">
      <x:c r="A5" s="8" t="str">
        <x:v>GSPY</x:v>
      </x:c>
      <x:c r="B5" s="8" t="str">
        <x:v>Gotham Enhanced 500 ETF</x:v>
      </x:c>
      <x:c r="C5" s="8" t="str">
        <x:v>Gotham Enhanced 500 ETF operates in the ETF sector. Review company filings for a precise business description.</x:v>
      </x:c>
      <x:c r="D5" s="14" t="n">
        <x:v>16966988</x:v>
      </x:c>
      <x:c r="E5" s="18"/>
      <x:c r="F5" s="19" t="e">
        <x:f>GOOGLEFINANCE("GSPY","price")</x:f>
        <x:v>#NAME?</x:v>
      </x:c>
      <x:c r="G5" s="19" t="str">
        <x:f>IFERROR(D5*F5,"")</x:f>
      </x:c>
      <x:c r="H5" s="20" t="e">
        <x:f>GOOGLEFINANCE("GSPY","pe")</x:f>
        <x:v>#NAME?</x:v>
      </x:c>
      <x:c r="I5" s="13" t="n">
        <x:v>0.016</x:v>
      </x:c>
      <x:c r="J5" s="21" t="n">
        <x:f>IFERROR(D5*E5,"")</x:f>
        <x:v>0</x:v>
      </x:c>
      <x:c r="K5" s="21" t="n">
        <x:f>IFERROR(G5-J5,"")</x:f>
        <x:v>0</x:v>
      </x:c>
      <x:c r="L5" s="22" t="str">
        <x:f>IFERROR(K5/J5,"")</x:f>
      </x:c>
      <x:c r="M5" s="8" t="str">
        <x:v>Reduce</x:v>
      </x:c>
      <x:c r="N5" s="8" t="str">
        <x:v>Q2 2026</x:v>
      </x:c>
      <x:c r="O5" s="8" t="str">
        <x:v>Reduce is based on the reported share-count change from the preceding 13-F. The filing does not disclose the investor's thesis or exact trade price.</x:v>
      </x:c>
    </x:row>
    <x:row r="6">
      <x:c r="A6" s="8" t="str">
        <x:v>IVV</x:v>
      </x:c>
      <x:c r="B6" s="8" t="str">
        <x:v>iShares Core S&amp;P 500 ETF</x:v>
      </x:c>
      <x:c r="C6" s="8" t="str">
        <x:v>iShares Core S&amp;P 500 ETF operates in the ETF sector. Review company filings for a precise business description.</x:v>
      </x:c>
      <x:c r="D6" s="14" t="n">
        <x:v>445224</x:v>
      </x:c>
      <x:c r="E6" s="18"/>
      <x:c r="F6" s="19" t="e">
        <x:f>GOOGLEFINANCE("IVV","price")</x:f>
        <x:v>#NAME?</x:v>
      </x:c>
      <x:c r="G6" s="19" t="str">
        <x:f>IFERROR(D6*F6,"")</x:f>
      </x:c>
      <x:c r="H6" s="20" t="e">
        <x:f>GOOGLEFINANCE("IVV","pe")</x:f>
        <x:v>#NAME?</x:v>
      </x:c>
      <x:c r="I6" s="13" t="n">
        <x:v>0.0078000000000000005</x:v>
      </x:c>
      <x:c r="J6" s="21" t="n">
        <x:f>IFERROR(D6*E6,"")</x:f>
        <x:v>0</x:v>
      </x:c>
      <x:c r="K6" s="21" t="n">
        <x:f>IFERROR(G6-J6,"")</x:f>
        <x:v>0</x:v>
      </x:c>
      <x:c r="L6" s="22" t="str">
        <x:f>IFERROR(K6/J6,"")</x:f>
      </x:c>
      <x:c r="M6" s="8" t="str">
        <x:v>Add</x:v>
      </x:c>
      <x:c r="N6" s="8" t="str">
        <x:v>Q2 2026</x:v>
      </x:c>
      <x:c r="O6" s="8" t="str">
        <x:v>Add is based on the reported share-count change from the preceding 13-F. The filing does not disclose the investor's thesis or exact trade price.</x:v>
      </x:c>
    </x:row>
    <x:row r="7">
      <x:c r="A7" s="8" t="str">
        <x:v>SNOW</x:v>
      </x:c>
      <x:c r="B7" s="8" t="str">
        <x:v>Snowflake</x:v>
      </x:c>
      <x:c r="C7" s="8" t="str">
        <x:v>Snowflake operates in the Technology sector. Review company filings for a precise business description.</x:v>
      </x:c>
      <x:c r="D7" s="14" t="n">
        <x:v>1031925.9999999999</x:v>
      </x:c>
      <x:c r="E7" s="18"/>
      <x:c r="F7" s="19" t="e">
        <x:f>GOOGLEFINANCE("SNOW","price")</x:f>
        <x:v>#NAME?</x:v>
      </x:c>
      <x:c r="G7" s="19" t="str">
        <x:f>IFERROR(D7*F7,"")</x:f>
      </x:c>
      <x:c r="H7" s="20" t="e">
        <x:f>GOOGLEFINANCE("SNOW","pe")</x:f>
        <x:v>#NAME?</x:v>
      </x:c>
      <x:c r="I7" s="13" t="n">
        <x:v>0.0060999999999999995</x:v>
      </x:c>
      <x:c r="J7" s="21" t="n">
        <x:f>IFERROR(D7*E7,"")</x:f>
        <x:v>0</x:v>
      </x:c>
      <x:c r="K7" s="21" t="n">
        <x:f>IFERROR(G7-J7,"")</x:f>
        <x:v>0</x:v>
      </x:c>
      <x:c r="L7" s="22" t="str">
        <x:f>IFERROR(K7/J7,"")</x:f>
      </x:c>
      <x:c r="M7" s="8" t="str">
        <x:v>Add</x:v>
      </x:c>
      <x:c r="N7" s="8" t="str">
        <x:v>Q2 2026</x:v>
      </x:c>
      <x:c r="O7" s="8" t="str">
        <x:v>Add is based on the reported share-count change from the preceding 13-F. The filing does not disclose the investor's thesis or exact trade price.</x:v>
      </x:c>
    </x:row>
    <x:row r="8">
      <x:c r="A8" s="8" t="str">
        <x:v>AMZN</x:v>
      </x:c>
      <x:c r="B8" s="8" t="str">
        <x:v>Amazon</x:v>
      </x:c>
      <x:c r="C8" s="8" t="str">
        <x:v>Amazon operates e-commerce, logistics, advertising, subscriptions, and AWS cloud infrastructure.</x:v>
      </x:c>
      <x:c r="D8" s="14" t="n">
        <x:v>839512</x:v>
      </x:c>
      <x:c r="E8" s="18"/>
      <x:c r="F8" s="19" t="e">
        <x:f>GOOGLEFINANCE("AMZN","price")</x:f>
        <x:v>#NAME?</x:v>
      </x:c>
      <x:c r="G8" s="19" t="str">
        <x:f>IFERROR(D8*F8,"")</x:f>
      </x:c>
      <x:c r="H8" s="20" t="e">
        <x:f>GOOGLEFINANCE("AMZN","pe")</x:f>
        <x:v>#NAME?</x:v>
      </x:c>
      <x:c r="I8" s="13" t="n">
        <x:v>0.004699999999999999</x:v>
      </x:c>
      <x:c r="J8" s="21" t="n">
        <x:f>IFERROR(D8*E8,"")</x:f>
        <x:v>0</x:v>
      </x:c>
      <x:c r="K8" s="21" t="n">
        <x:f>IFERROR(G8-J8,"")</x:f>
        <x:v>0</x:v>
      </x:c>
      <x:c r="L8" s="22" t="str">
        <x:f>IFERROR(K8/J8,"")</x:f>
      </x:c>
      <x:c r="M8" s="8" t="str">
        <x:v>Add</x:v>
      </x:c>
      <x:c r="N8" s="8" t="str">
        <x:v>Q2 2026</x:v>
      </x:c>
      <x:c r="O8" s="8" t="str">
        <x:v>Add is based on the reported share-count change from the preceding 13-F. The filing does not disclose the investor's thesis or exact trade price.</x:v>
      </x:c>
    </x:row>
    <x:row r="9">
      <x:c r="A9" s="8" t="str">
        <x:v>GOOGL</x:v>
      </x:c>
      <x:c r="B9" s="8" t="str">
        <x:v>Alphabet Class A</x:v>
      </x:c>
      <x:c r="C9" s="8" t="str">
        <x:v>Alphabet Class A represents Alphabet, parent of Google Search, YouTube, Google Cloud, Android, and AI assets.</x:v>
      </x:c>
      <x:c r="D9" s="14" t="n">
        <x:v>554564</x:v>
      </x:c>
      <x:c r="E9" s="18"/>
      <x:c r="F9" s="19" t="e">
        <x:f>GOOGLEFINANCE("GOOGL","price")</x:f>
        <x:v>#NAME?</x:v>
      </x:c>
      <x:c r="G9" s="19" t="str">
        <x:f>IFERROR(D9*F9,"")</x:f>
      </x:c>
      <x:c r="H9" s="20" t="e">
        <x:f>GOOGLEFINANCE("GOOGL","pe")</x:f>
        <x:v>#NAME?</x:v>
      </x:c>
      <x:c r="I9" s="13" t="n">
        <x:v>0.0046</x:v>
      </x:c>
      <x:c r="J9" s="21" t="n">
        <x:f>IFERROR(D9*E9,"")</x:f>
        <x:v>0</x:v>
      </x:c>
      <x:c r="K9" s="21" t="n">
        <x:f>IFERROR(G9-J9,"")</x:f>
        <x:v>0</x:v>
      </x:c>
      <x:c r="L9" s="22" t="str">
        <x:f>IFERROR(K9/J9,"")</x:f>
      </x:c>
      <x:c r="M9" s="8" t="str">
        <x:v>Add</x:v>
      </x:c>
      <x:c r="N9" s="8" t="str">
        <x:v>Q2 2026</x:v>
      </x:c>
      <x:c r="O9" s="8" t="str">
        <x:v>Add is based on the reported share-count change from the preceding 13-F. The filing does not disclose the investor's thesis or exact trade price.</x:v>
      </x:c>
    </x:row>
    <x:row r="10">
      <x:c r="A10" s="8" t="str">
        <x:v>VOO</x:v>
      </x:c>
      <x:c r="B10" s="8" t="str">
        <x:v>Vanguard S&amp;P 500 ETF</x:v>
      </x:c>
      <x:c r="C10" s="8" t="str">
        <x:v>Vanguard S&amp;P 500 ETF operates in the ETF sector. Review company filings for a precise business description.</x:v>
      </x:c>
      <x:c r="D10" s="14" t="n">
        <x:v>286051</x:v>
      </x:c>
      <x:c r="E10" s="18"/>
      <x:c r="F10" s="19" t="e">
        <x:f>GOOGLEFINANCE("VOO","price")</x:f>
        <x:v>#NAME?</x:v>
      </x:c>
      <x:c r="G10" s="19" t="str">
        <x:f>IFERROR(D10*F10,"")</x:f>
      </x:c>
      <x:c r="H10" s="20" t="e">
        <x:f>GOOGLEFINANCE("VOO","pe")</x:f>
        <x:v>#NAME?</x:v>
      </x:c>
      <x:c r="I10" s="13" t="n">
        <x:v>0.0046</x:v>
      </x:c>
      <x:c r="J10" s="21" t="n">
        <x:f>IFERROR(D10*E10,"")</x:f>
        <x:v>0</x:v>
      </x:c>
      <x:c r="K10" s="21" t="n">
        <x:f>IFERROR(G10-J10,"")</x:f>
        <x:v>0</x:v>
      </x:c>
      <x:c r="L10" s="22" t="str">
        <x:f>IFERROR(K10/J10,"")</x:f>
      </x:c>
      <x:c r="M10" s="8" t="str">
        <x:v>Add</x:v>
      </x:c>
      <x:c r="N10" s="8" t="str">
        <x:v>Q2 2026</x:v>
      </x:c>
      <x:c r="O10" s="8" t="str">
        <x:v>Add is based on the reported share-count change from the preceding 13-F. The filing does not disclose the investor's thesis or exact trade price.</x:v>
      </x:c>
    </x:row>
    <x:row r="11">
      <x:c r="A11" s="8" t="str">
        <x:v>VTV</x:v>
      </x:c>
      <x:c r="B11" s="8" t="str">
        <x:v>Vanguard Value ETF</x:v>
      </x:c>
      <x:c r="C11" s="8" t="str">
        <x:v>Vanguard Value ETF operates in the ETF sector. Review company filings for a precise business description.</x:v>
      </x:c>
      <x:c r="D11" s="14" t="n">
        <x:v>875457</x:v>
      </x:c>
      <x:c r="E11" s="18"/>
      <x:c r="F11" s="19" t="e">
        <x:f>GOOGLEFINANCE("VTV","price")</x:f>
        <x:v>#NAME?</x:v>
      </x:c>
      <x:c r="G11" s="19" t="str">
        <x:f>IFERROR(D11*F11,"")</x:f>
      </x:c>
      <x:c r="H11" s="20" t="e">
        <x:f>GOOGLEFINANCE("VTV","pe")</x:f>
        <x:v>#NAME?</x:v>
      </x:c>
      <x:c r="I11" s="13" t="n">
        <x:v>0.0044</x:v>
      </x:c>
      <x:c r="J11" s="21" t="n">
        <x:f>IFERROR(D11*E11,"")</x:f>
        <x:v>0</x:v>
      </x:c>
      <x:c r="K11" s="21" t="n">
        <x:f>IFERROR(G11-J11,"")</x:f>
        <x:v>0</x:v>
      </x:c>
      <x:c r="L11" s="22" t="str">
        <x:f>IFERROR(K11/J11,"")</x:f>
      </x:c>
      <x:c r="M11" s="8" t="str">
        <x:v>Add</x:v>
      </x:c>
      <x:c r="N11" s="8" t="str">
        <x:v>Q2 2026</x:v>
      </x:c>
      <x:c r="O11" s="8" t="str">
        <x:v>Add is based on the reported share-count change from the preceding 13-F. The filing does not disclose the investor's thesis or exact trade price.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889999866485596" hidden="0" customWidth="1"/>
    <x:col min="2" max="2" width="21.440000534057617" hidden="0" customWidth="1"/>
    <x:col min="3" max="3" width="50" hidden="0" customWidth="1"/>
    <x:col min="4" max="4" width="7.110000133514404" hidden="0" customWidth="1"/>
    <x:col min="5" max="5" width="13.329999923706055" hidden="0" customWidth="1"/>
    <x:col min="6" max="6" width="6.329999923706055" hidden="0" customWidth="1"/>
    <x:col min="7" max="7" width="8.779999732971191" hidden="0" customWidth="1"/>
    <x:col min="8" max="8" width="7.110000133514404" hidden="0" customWidth="1"/>
    <x:col min="9" max="9" width="12.4399995803833" hidden="0" customWidth="1"/>
    <x:col min="10" max="10" width="7.670000076293945" hidden="0" customWidth="1"/>
    <x:col min="11" max="11" width="11.4399995803833" hidden="0" customWidth="1"/>
    <x:col min="12" max="12" width="5.670000076293945" hidden="0" customWidth="1"/>
    <x:col min="13" max="13" width="5.559999942779541" hidden="0" customWidth="1"/>
    <x:col min="14" max="14" width="6.110000133514404" hidden="0" customWidth="1"/>
    <x:col min="15" max="15" width="60" hidden="0" customWidth="1"/>
  </x:cols>
  <x:sheetData>
    <x:row r="1" ht="36" customHeight="1">
      <x:c r="A1" s="12" t="str">
        <x:v>Ticker</x:v>
      </x:c>
      <x:c r="B1" s="12" t="str">
        <x:v>Company</x:v>
      </x:c>
      <x:c r="C1" s="12" t="str">
        <x:v>What the company does</x:v>
      </x:c>
      <x:c r="D1" s="12" t="str">
        <x:v>Shares</x:v>
      </x:c>
      <x:c r="E1" s="12" t="str">
        <x:v>Average Unit Cost</x:v>
      </x:c>
      <x:c r="F1" s="12" t="str">
        <x:v>Price</x:v>
      </x:c>
      <x:c r="G1" s="12" t="str">
        <x:v>Total Equity</x:v>
      </x:c>
      <x:c r="H1" s="12" t="str">
        <x:v>P/E Ratio</x:v>
      </x:c>
      <x:c r="I1" s="12" t="str">
        <x:v>Portfolio Percent</x:v>
      </x:c>
      <x:c r="J1" s="12" t="str">
        <x:v>Total Cost</x:v>
      </x:c>
      <x:c r="K1" s="12" t="str">
        <x:v>Total Gain/Loss</x:v>
      </x:c>
      <x:c r="L1" s="12" t="str">
        <x:v>% Gain</x:v>
      </x:c>
      <x:c r="M1" s="12" t="str">
        <x:v>Action</x:v>
      </x:c>
      <x:c r="N1" s="12" t="str">
        <x:v>Quarter</x:v>
      </x:c>
      <x:c r="O1" s="12" t="str">
        <x:v>Source / Notes</x:v>
      </x:c>
    </x:row>
    <x:row r="2">
      <x:c r="A2" s="8" t="str">
        <x:v>MSGS</x:v>
      </x:c>
      <x:c r="B2" s="8" t="str">
        <x:v>Madison Square Garden Sports</x:v>
      </x:c>
      <x:c r="C2" s="8" t="str">
        <x:v>Madison Square Garden Sports operates in the Communication Services sector. Review company filings for a precise business description.</x:v>
      </x:c>
      <x:c r="D2" s="14" t="n">
        <x:v>589128</x:v>
      </x:c>
      <x:c r="E2" s="18"/>
      <x:c r="F2" s="19" t="e">
        <x:f>GOOGLEFINANCE("MSGS","price")</x:f>
        <x:v>#NAME?</x:v>
      </x:c>
      <x:c r="G2" s="19" t="str">
        <x:f>IFERROR(D2*F2,"")</x:f>
      </x:c>
      <x:c r="H2" s="20" t="e">
        <x:f>GOOGLEFINANCE("MSGS","pe")</x:f>
        <x:v>#NAME?</x:v>
      </x:c>
      <x:c r="I2" s="13" t="n">
        <x:v>0.0212</x:v>
      </x:c>
      <x:c r="J2" s="21" t="n">
        <x:f>IFERROR(D2*E2,"")</x:f>
        <x:v>0</x:v>
      </x:c>
      <x:c r="K2" s="21" t="n">
        <x:f>IFERROR(G2-J2,"")</x:f>
        <x:v>0</x:v>
      </x:c>
      <x:c r="L2" s="22" t="str">
        <x:f>IFERROR(K2/J2,"")</x:f>
      </x:c>
      <x:c r="M2" s="8" t="str">
        <x:v>Add</x:v>
      </x:c>
      <x:c r="N2" s="8" t="str">
        <x:v>Q2 2026</x:v>
      </x:c>
      <x:c r="O2" s="8" t="str">
        <x:v>Add is based on the reported share-count change from the preceding 13-F. The filing does not disclose the investor's thesis or exact trade price.</x:v>
      </x:c>
    </x:row>
    <x:row r="3">
      <x:c r="A3" s="8" t="str">
        <x:v>CR</x:v>
      </x:c>
      <x:c r="B3" s="8" t="str">
        <x:v>Crane</x:v>
      </x:c>
      <x:c r="C3" s="8" t="str">
        <x:v>Crane operates in the Industrials sector. Review company filings for a precise business description.</x:v>
      </x:c>
      <x:c r="D3" s="14" t="n">
        <x:v>978953</x:v>
      </x:c>
      <x:c r="E3" s="18"/>
      <x:c r="F3" s="19" t="e">
        <x:f>GOOGLEFINANCE("CR","price")</x:f>
        <x:v>#NAME?</x:v>
      </x:c>
      <x:c r="G3" s="19" t="str">
        <x:f>IFERROR(D3*F3,"")</x:f>
      </x:c>
      <x:c r="H3" s="20" t="e">
        <x:f>GOOGLEFINANCE("CR","pe")</x:f>
        <x:v>#NAME?</x:v>
      </x:c>
      <x:c r="I3" s="13" t="n">
        <x:v>0.0196</x:v>
      </x:c>
      <x:c r="J3" s="21" t="n">
        <x:f>IFERROR(D3*E3,"")</x:f>
        <x:v>0</x:v>
      </x:c>
      <x:c r="K3" s="21" t="n">
        <x:f>IFERROR(G3-J3,"")</x:f>
        <x:v>0</x:v>
      </x:c>
      <x:c r="L3" s="22" t="str">
        <x:f>IFERROR(K3/J3,"")</x:f>
      </x:c>
      <x:c r="M3" s="8" t="str">
        <x:v>Reduce</x:v>
      </x:c>
      <x:c r="N3" s="8" t="str">
        <x:v>Q2 2026</x:v>
      </x:c>
      <x:c r="O3" s="8" t="str">
        <x:v>Reduce is based on the reported share-count change from the preceding 13-F. The filing does not disclose the investor's thesis or exact trade price.</x:v>
      </x:c>
    </x:row>
    <x:row r="4">
      <x:c r="A4" s="8" t="str">
        <x:v>MLI</x:v>
      </x:c>
      <x:c r="B4" s="8" t="str">
        <x:v>Mueller Industries</x:v>
      </x:c>
      <x:c r="C4" s="8" t="str">
        <x:v>Mueller Industries operates in the Industrials sector. Review company filings for a precise business description.</x:v>
      </x:c>
      <x:c r="D4" s="14" t="n">
        <x:v>1542150</x:v>
      </x:c>
      <x:c r="E4" s="18"/>
      <x:c r="F4" s="19" t="e">
        <x:f>GOOGLEFINANCE("MLI","price")</x:f>
        <x:v>#NAME?</x:v>
      </x:c>
      <x:c r="G4" s="19" t="str">
        <x:f>IFERROR(D4*F4,"")</x:f>
      </x:c>
      <x:c r="H4" s="20" t="e">
        <x:f>GOOGLEFINANCE("MLI","pe")</x:f>
        <x:v>#NAME?</x:v>
      </x:c>
      <x:c r="I4" s="13" t="n">
        <x:v>0.017</x:v>
      </x:c>
      <x:c r="J4" s="21" t="n">
        <x:f>IFERROR(D4*E4,"")</x:f>
        <x:v>0</x:v>
      </x:c>
      <x:c r="K4" s="21" t="n">
        <x:f>IFERROR(G4-J4,"")</x:f>
        <x:v>0</x:v>
      </x:c>
      <x:c r="L4" s="22" t="str">
        <x:f>IFERROR(K4/J4,"")</x:f>
      </x:c>
      <x:c r="M4" s="8" t="str">
        <x:v>Reduce</x:v>
      </x:c>
      <x:c r="N4" s="8" t="str">
        <x:v>Q2 2026</x:v>
      </x:c>
      <x:c r="O4" s="8" t="str">
        <x:v>Reduce is based on the reported share-count change from the preceding 13-F. The filing does not disclose the investor's thesis or exact trade price.</x:v>
      </x:c>
    </x:row>
    <x:row r="5">
      <x:c r="A5" s="8" t="str">
        <x:v>GATX</x:v>
      </x:c>
      <x:c r="B5" s="8" t="str">
        <x:v>GATX</x:v>
      </x:c>
      <x:c r="C5" s="8" t="str">
        <x:v>GATX operates in the Industrials sector. Review company filings for a precise business description.</x:v>
      </x:c>
      <x:c r="D5" s="14" t="n">
        <x:v>1054962</x:v>
      </x:c>
      <x:c r="E5" s="18"/>
      <x:c r="F5" s="19" t="e">
        <x:f>GOOGLEFINANCE("GATX","price")</x:f>
        <x:v>#NAME?</x:v>
      </x:c>
      <x:c r="G5" s="19" t="str">
        <x:f>IFERROR(D5*F5,"")</x:f>
      </x:c>
      <x:c r="H5" s="20" t="e">
        <x:f>GOOGLEFINANCE("GATX","pe")</x:f>
        <x:v>#NAME?</x:v>
      </x:c>
      <x:c r="I5" s="13" t="n">
        <x:v>0.0168</x:v>
      </x:c>
      <x:c r="J5" s="21" t="n">
        <x:f>IFERROR(D5*E5,"")</x:f>
        <x:v>0</x:v>
      </x:c>
      <x:c r="K5" s="21" t="n">
        <x:f>IFERROR(G5-J5,"")</x:f>
        <x:v>0</x:v>
      </x:c>
      <x:c r="L5" s="22" t="str">
        <x:f>IFERROR(K5/J5,"")</x:f>
      </x:c>
      <x:c r="M5" s="8" t="str">
        <x:v>Reduce</x:v>
      </x:c>
      <x:c r="N5" s="8" t="str">
        <x:v>Q2 2026</x:v>
      </x:c>
      <x:c r="O5" s="8" t="str">
        <x:v>Reduce is based on the reported share-count change from the preceding 13-F. The filing does not disclose the investor's thesis or exact trade price.</x:v>
      </x:c>
    </x:row>
    <x:row r="6">
      <x:c r="A6" s="8" t="str">
        <x:v>WTS</x:v>
      </x:c>
      <x:c r="B6" s="8" t="str">
        <x:v>Watts Water Technologies</x:v>
      </x:c>
      <x:c r="C6" s="8" t="str">
        <x:v>Watts Water Technologies operates in the Industrials sector. Review company filings for a precise business description.</x:v>
      </x:c>
      <x:c r="D6" s="14" t="n">
        <x:v>399032</x:v>
      </x:c>
      <x:c r="E6" s="18"/>
      <x:c r="F6" s="19" t="e">
        <x:f>GOOGLEFINANCE("WTS","price")</x:f>
        <x:v>#NAME?</x:v>
      </x:c>
      <x:c r="G6" s="19" t="str">
        <x:f>IFERROR(D6*F6,"")</x:f>
      </x:c>
      <x:c r="H6" s="20" t="e">
        <x:f>GOOGLEFINANCE("WTS","pe")</x:f>
        <x:v>#NAME?</x:v>
      </x:c>
      <x:c r="I6" s="13" t="n">
        <x:v>0.013999999999999999</x:v>
      </x:c>
      <x:c r="J6" s="21" t="n">
        <x:f>IFERROR(D6*E6,"")</x:f>
        <x:v>0</x:v>
      </x:c>
      <x:c r="K6" s="21" t="n">
        <x:f>IFERROR(G6-J6,"")</x:f>
        <x:v>0</x:v>
      </x:c>
      <x:c r="L6" s="22" t="str">
        <x:f>IFERROR(K6/J6,"")</x:f>
      </x:c>
      <x:c r="M6" s="8" t="str">
        <x:v>Reduce</x:v>
      </x:c>
      <x:c r="N6" s="8" t="str">
        <x:v>Q2 2026</x:v>
      </x:c>
      <x:c r="O6" s="8" t="str">
        <x:v>Reduce is based on the reported share-count change from the preceding 13-F. The filing does not disclose the investor's thesis or exact trade price.</x:v>
      </x:c>
    </x:row>
    <x:row r="7">
      <x:c r="A7" s="8" t="str">
        <x:v>BK</x:v>
      </x:c>
      <x:c r="B7" s="8" t="str">
        <x:v>Bank of New York Mellon</x:v>
      </x:c>
      <x:c r="C7" s="8" t="str">
        <x:v>Bank of New York Mellon operates in the Financials sector. Review company filings for a precise business description.</x:v>
      </x:c>
      <x:c r="D7" s="14" t="n">
        <x:v>976858</x:v>
      </x:c>
      <x:c r="E7" s="18"/>
      <x:c r="F7" s="19" t="e">
        <x:f>GOOGLEFINANCE("BK","price")</x:f>
        <x:v>#NAME?</x:v>
      </x:c>
      <x:c r="G7" s="19" t="str">
        <x:f>IFERROR(D7*F7,"")</x:f>
      </x:c>
      <x:c r="H7" s="20" t="e">
        <x:f>GOOGLEFINANCE("BK","pe")</x:f>
        <x:v>#NAME?</x:v>
      </x:c>
      <x:c r="I7" s="13" t="n">
        <x:v>0.0127</x:v>
      </x:c>
      <x:c r="J7" s="21" t="n">
        <x:f>IFERROR(D7*E7,"")</x:f>
        <x:v>0</x:v>
      </x:c>
      <x:c r="K7" s="21" t="n">
        <x:f>IFERROR(G7-J7,"")</x:f>
        <x:v>0</x:v>
      </x:c>
      <x:c r="L7" s="22" t="str">
        <x:f>IFERROR(K7/J7,"")</x:f>
      </x:c>
      <x:c r="M7" s="8" t="str">
        <x:v>Reduce</x:v>
      </x:c>
      <x:c r="N7" s="8" t="str">
        <x:v>Q2 2026</x:v>
      </x:c>
      <x:c r="O7" s="8" t="str">
        <x:v>Reduce is based on the reported share-count change from the preceding 13-F. The filing does not disclose the investor's thesis or exact trade price.</x:v>
      </x:c>
    </x:row>
    <x:row r="8">
      <x:c r="A8" s="8" t="str">
        <x:v>HRI</x:v>
      </x:c>
      <x:c r="B8" s="8" t="str">
        <x:v>Herc Holdings</x:v>
      </x:c>
      <x:c r="C8" s="8" t="str">
        <x:v>Herc Holdings operates in the Industrials sector. Review company filings for a precise business description.</x:v>
      </x:c>
      <x:c r="D8" s="14" t="n">
        <x:v>976739</x:v>
      </x:c>
      <x:c r="E8" s="18"/>
      <x:c r="F8" s="19" t="e">
        <x:f>GOOGLEFINANCE("HRI","price")</x:f>
        <x:v>#NAME?</x:v>
      </x:c>
      <x:c r="G8" s="19" t="str">
        <x:f>IFERROR(D8*F8,"")</x:f>
      </x:c>
      <x:c r="H8" s="20" t="e">
        <x:f>GOOGLEFINANCE("HRI","pe")</x:f>
        <x:v>#NAME?</x:v>
      </x:c>
      <x:c r="I8" s="13" t="n">
        <x:v>0.0126</x:v>
      </x:c>
      <x:c r="J8" s="21" t="n">
        <x:f>IFERROR(D8*E8,"")</x:f>
        <x:v>0</x:v>
      </x:c>
      <x:c r="K8" s="21" t="n">
        <x:f>IFERROR(G8-J8,"")</x:f>
        <x:v>0</x:v>
      </x:c>
      <x:c r="L8" s="22" t="str">
        <x:f>IFERROR(K8/J8,"")</x:f>
      </x:c>
      <x:c r="M8" s="8" t="str">
        <x:v>Add</x:v>
      </x:c>
      <x:c r="N8" s="8" t="str">
        <x:v>Q2 2026</x:v>
      </x:c>
      <x:c r="O8" s="8" t="str">
        <x:v>Add is based on the reported share-count change from the preceding 13-F. The filing does not disclose the investor's thesis or exact trade price.</x:v>
      </x:c>
    </x:row>
    <x:row r="9">
      <x:c r="A9" s="8" t="str">
        <x:v>SPHR</x:v>
      </x:c>
      <x:c r="B9" s="8" t="str">
        <x:v>Sphere Entertainment</x:v>
      </x:c>
      <x:c r="C9" s="8" t="str">
        <x:v>Sphere Entertainment operates in the Communication Services sector. Review company filings for a precise business description.</x:v>
      </x:c>
      <x:c r="D9" s="14" t="n">
        <x:v>765913</x:v>
      </x:c>
      <x:c r="E9" s="18"/>
      <x:c r="F9" s="19" t="e">
        <x:f>GOOGLEFINANCE("SPHR","price")</x:f>
        <x:v>#NAME?</x:v>
      </x:c>
      <x:c r="G9" s="19" t="str">
        <x:f>IFERROR(D9*F9,"")</x:f>
      </x:c>
      <x:c r="H9" s="20" t="e">
        <x:f>GOOGLEFINANCE("SPHR","pe")</x:f>
        <x:v>#NAME?</x:v>
      </x:c>
      <x:c r="I9" s="13" t="n">
        <x:v>0.011899999999999999</x:v>
      </x:c>
      <x:c r="J9" s="21" t="n">
        <x:f>IFERROR(D9*E9,"")</x:f>
        <x:v>0</x:v>
      </x:c>
      <x:c r="K9" s="21" t="n">
        <x:f>IFERROR(G9-J9,"")</x:f>
        <x:v>0</x:v>
      </x:c>
      <x:c r="L9" s="22" t="str">
        <x:f>IFERROR(K9/J9,"")</x:f>
      </x:c>
      <x:c r="M9" s="8" t="str">
        <x:v>Reduce</x:v>
      </x:c>
      <x:c r="N9" s="8" t="str">
        <x:v>Q2 2026</x:v>
      </x:c>
      <x:c r="O9" s="8" t="str">
        <x:v>Reduce is based on the reported share-count change from the preceding 13-F. The filing does not disclose the investor's thesis or exact trade price.</x:v>
      </x:c>
    </x:row>
    <x:row r="10">
      <x:c r="A10" s="8" t="str">
        <x:v>AME</x:v>
      </x:c>
      <x:c r="B10" s="8" t="str">
        <x:v>AMETEK</x:v>
      </x:c>
      <x:c r="C10" s="8" t="str">
        <x:v>AMETEK operates in the Industrials sector. Review company filings for a precise business description.</x:v>
      </x:c>
      <x:c r="D10" s="14" t="n">
        <x:v>544372</x:v>
      </x:c>
      <x:c r="E10" s="18"/>
      <x:c r="F10" s="19" t="e">
        <x:f>GOOGLEFINANCE("AME","price")</x:f>
        <x:v>#NAME?</x:v>
      </x:c>
      <x:c r="G10" s="19" t="str">
        <x:f>IFERROR(D10*F10,"")</x:f>
      </x:c>
      <x:c r="H10" s="20" t="e">
        <x:f>GOOGLEFINANCE("AME","pe")</x:f>
        <x:v>#NAME?</x:v>
      </x:c>
      <x:c r="I10" s="13" t="n">
        <x:v>0.0118</x:v>
      </x:c>
      <x:c r="J10" s="21" t="n">
        <x:f>IFERROR(D10*E10,"")</x:f>
        <x:v>0</x:v>
      </x:c>
      <x:c r="K10" s="21" t="n">
        <x:f>IFERROR(G10-J10,"")</x:f>
        <x:v>0</x:v>
      </x:c>
      <x:c r="L10" s="22" t="str">
        <x:f>IFERROR(K10/J10,"")</x:f>
      </x:c>
      <x:c r="M10" s="8" t="str">
        <x:v>Reduce</x:v>
      </x:c>
      <x:c r="N10" s="8" t="str">
        <x:v>Q2 2026</x:v>
      </x:c>
      <x:c r="O10" s="8" t="str">
        <x:v>Reduce is based on the reported share-count change from the preceding 13-F. The filing does not disclose the investor's thesis or exact trade price.</x:v>
      </x:c>
    </x:row>
    <x:row r="11">
      <x:c r="A11" s="8" t="str">
        <x:v>AXP</x:v>
      </x:c>
      <x:c r="B11" s="8" t="str">
        <x:v>American Express</x:v>
      </x:c>
      <x:c r="C11" s="8" t="str">
        <x:v>American Express operates in the Financials sector. Review company filings for a precise business description.</x:v>
      </x:c>
      <x:c r="D11" s="14" t="n">
        <x:v>388962</x:v>
      </x:c>
      <x:c r="E11" s="18"/>
      <x:c r="F11" s="19" t="e">
        <x:f>GOOGLEFINANCE("AXP","price")</x:f>
        <x:v>#NAME?</x:v>
      </x:c>
      <x:c r="G11" s="19" t="str">
        <x:f>IFERROR(D11*F11,"")</x:f>
      </x:c>
      <x:c r="H11" s="20" t="e">
        <x:f>GOOGLEFINANCE("AXP","pe")</x:f>
        <x:v>#NAME?</x:v>
      </x:c>
      <x:c r="I11" s="13" t="n">
        <x:v>0.0118</x:v>
      </x:c>
      <x:c r="J11" s="21" t="n">
        <x:f>IFERROR(D11*E11,"")</x:f>
        <x:v>0</x:v>
      </x:c>
      <x:c r="K11" s="21" t="n">
        <x:f>IFERROR(G11-J11,"")</x:f>
        <x:v>0</x:v>
      </x:c>
      <x:c r="L11" s="22" t="str">
        <x:f>IFERROR(K11/J11,"")</x:f>
      </x:c>
      <x:c r="M11" s="8" t="str">
        <x:v>Reduce</x:v>
      </x:c>
      <x:c r="N11" s="8" t="str">
        <x:v>Q2 2026</x:v>
      </x:c>
      <x:c r="O11" s="8" t="str">
        <x:v>Reduce is based on the reported share-count change from the preceding 13-F. The filing does not disclose the investor's thesis or exact trade price.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8000020980835" hidden="0" customWidth="1"/>
    <x:col min="2" max="2" width="21.219999313354492" hidden="0" customWidth="1"/>
    <x:col min="3" max="3" width="50" hidden="0" customWidth="1"/>
    <x:col min="4" max="4" width="7.110000133514404" hidden="0" customWidth="1"/>
    <x:col min="5" max="5" width="13.329999923706055" hidden="0" customWidth="1"/>
    <x:col min="6" max="6" width="6.329999923706055" hidden="0" customWidth="1"/>
    <x:col min="7" max="7" width="8.779999732971191" hidden="0" customWidth="1"/>
    <x:col min="8" max="8" width="7.110000133514404" hidden="0" customWidth="1"/>
    <x:col min="9" max="9" width="12.4399995803833" hidden="0" customWidth="1"/>
    <x:col min="10" max="10" width="7.670000076293945" hidden="0" customWidth="1"/>
    <x:col min="11" max="11" width="11.4399995803833" hidden="0" customWidth="1"/>
    <x:col min="12" max="12" width="5.670000076293945" hidden="0" customWidth="1"/>
    <x:col min="13" max="13" width="5.559999942779541" hidden="0" customWidth="1"/>
    <x:col min="14" max="14" width="6.110000133514404" hidden="0" customWidth="1"/>
    <x:col min="15" max="15" width="60" hidden="0" customWidth="1"/>
  </x:cols>
  <x:sheetData>
    <x:row r="1" ht="36" customHeight="1">
      <x:c r="A1" s="12" t="str">
        <x:v>Ticker</x:v>
      </x:c>
      <x:c r="B1" s="12" t="str">
        <x:v>Company</x:v>
      </x:c>
      <x:c r="C1" s="12" t="str">
        <x:v>What the company does</x:v>
      </x:c>
      <x:c r="D1" s="12" t="str">
        <x:v>Shares</x:v>
      </x:c>
      <x:c r="E1" s="12" t="str">
        <x:v>Average Unit Cost</x:v>
      </x:c>
      <x:c r="F1" s="12" t="str">
        <x:v>Price</x:v>
      </x:c>
      <x:c r="G1" s="12" t="str">
        <x:v>Total Equity</x:v>
      </x:c>
      <x:c r="H1" s="12" t="str">
        <x:v>P/E Ratio</x:v>
      </x:c>
      <x:c r="I1" s="12" t="str">
        <x:v>Portfolio Percent</x:v>
      </x:c>
      <x:c r="J1" s="12" t="str">
        <x:v>Total Cost</x:v>
      </x:c>
      <x:c r="K1" s="12" t="str">
        <x:v>Total Gain/Loss</x:v>
      </x:c>
      <x:c r="L1" s="12" t="str">
        <x:v>% Gain</x:v>
      </x:c>
      <x:c r="M1" s="12" t="str">
        <x:v>Action</x:v>
      </x:c>
      <x:c r="N1" s="12" t="str">
        <x:v>Quarter</x:v>
      </x:c>
      <x:c r="O1" s="12" t="str">
        <x:v>Source / Notes</x:v>
      </x:c>
    </x:row>
    <x:row r="2">
      <x:c r="A2" s="8" t="str">
        <x:v>SPY</x:v>
      </x:c>
      <x:c r="B2" s="8" t="str">
        <x:v>SPDR S&amp;P 500 ETF Trust</x:v>
      </x:c>
      <x:c r="C2" s="8" t="str">
        <x:v>SPDR S&amp;P 500 ETF Trust operates in the ETF sector. Review company filings for a precise business description.</x:v>
      </x:c>
      <x:c r="D2" s="14" t="n">
        <x:v>5320308</x:v>
      </x:c>
      <x:c r="E2" s="18"/>
      <x:c r="F2" s="19" t="e">
        <x:f>GOOGLEFINANCE("SPY","price")</x:f>
        <x:v>#NAME?</x:v>
      </x:c>
      <x:c r="G2" s="19" t="str">
        <x:f>IFERROR(D2*F2,"")</x:f>
      </x:c>
      <x:c r="H2" s="20" t="e">
        <x:f>GOOGLEFINANCE("SPY","pe")</x:f>
        <x:v>#NAME?</x:v>
      </x:c>
      <x:c r="I2" s="13" t="n">
        <x:v>0.163</x:v>
      </x:c>
      <x:c r="J2" s="21" t="n">
        <x:f>IFERROR(D2*E2,"")</x:f>
        <x:v>0</x:v>
      </x:c>
      <x:c r="K2" s="21" t="n">
        <x:f>IFERROR(G2-J2,"")</x:f>
        <x:v>0</x:v>
      </x:c>
      <x:c r="L2" s="22" t="str">
        <x:f>IFERROR(K2/J2,"")</x:f>
      </x:c>
      <x:c r="M2" s="8" t="str">
        <x:v>Add</x:v>
      </x:c>
      <x:c r="N2" s="8" t="str">
        <x:v>Q2 2026</x:v>
      </x:c>
      <x:c r="O2" s="8" t="str">
        <x:v>Add is based on the reported share-count change from the preceding 13-F. The filing does not disclose the investor's thesis or exact trade price.</x:v>
      </x:c>
    </x:row>
    <x:row r="3">
      <x:c r="A3" s="8" t="str">
        <x:v>IVV</x:v>
      </x:c>
      <x:c r="B3" s="8" t="str">
        <x:v>iShares Core S&amp;P 500 ETF</x:v>
      </x:c>
      <x:c r="C3" s="8" t="str">
        <x:v>iShares Core S&amp;P 500 ETF operates in the ETF sector. Review company filings for a precise business description.</x:v>
      </x:c>
      <x:c r="D3" s="14" t="n">
        <x:v>3002286</x:v>
      </x:c>
      <x:c r="E3" s="18"/>
      <x:c r="F3" s="19" t="e">
        <x:f>GOOGLEFINANCE("IVV","price")</x:f>
        <x:v>#NAME?</x:v>
      </x:c>
      <x:c r="G3" s="19" t="str">
        <x:f>IFERROR(D3*F3,"")</x:f>
      </x:c>
      <x:c r="H3" s="20" t="e">
        <x:f>GOOGLEFINANCE("IVV","pe")</x:f>
        <x:v>#NAME?</x:v>
      </x:c>
      <x:c r="I3" s="13" t="n">
        <x:v>0.0922</x:v>
      </x:c>
      <x:c r="J3" s="21" t="n">
        <x:f>IFERROR(D3*E3,"")</x:f>
        <x:v>0</x:v>
      </x:c>
      <x:c r="K3" s="21" t="n">
        <x:f>IFERROR(G3-J3,"")</x:f>
        <x:v>0</x:v>
      </x:c>
      <x:c r="L3" s="22" t="str">
        <x:f>IFERROR(K3/J3,"")</x:f>
      </x:c>
      <x:c r="M3" s="8" t="str">
        <x:v>Add</x:v>
      </x:c>
      <x:c r="N3" s="8" t="str">
        <x:v>Q2 2026</x:v>
      </x:c>
      <x:c r="O3" s="8" t="str">
        <x:v>Add is based on the reported share-count change from the preceding 13-F. The filing does not disclose the investor's thesis or exact trade price.</x:v>
      </x:c>
    </x:row>
    <x:row r="4">
      <x:c r="A4" s="8" t="str">
        <x:v>NVDA</x:v>
      </x:c>
      <x:c r="B4" s="8" t="str">
        <x:v>NVIDIA</x:v>
      </x:c>
      <x:c r="C4" s="8" t="str">
        <x:v>NVIDIA designs GPUs, AI accelerators, networking, software, and systems for data centers, gaming, and professional visualization.</x:v>
      </x:c>
      <x:c r="D4" s="14" t="n">
        <x:v>3866195</x:v>
      </x:c>
      <x:c r="E4" s="18"/>
      <x:c r="F4" s="19" t="e">
        <x:f>GOOGLEFINANCE("NVDA","price")</x:f>
        <x:v>#NAME?</x:v>
      </x:c>
      <x:c r="G4" s="19" t="str">
        <x:f>IFERROR(D4*F4,"")</x:f>
      </x:c>
      <x:c r="H4" s="20" t="e">
        <x:f>GOOGLEFINANCE("NVDA","pe")</x:f>
        <x:v>#NAME?</x:v>
      </x:c>
      <x:c r="I4" s="13" t="n">
        <x:v>0.0317</x:v>
      </x:c>
      <x:c r="J4" s="21" t="n">
        <x:f>IFERROR(D4*E4,"")</x:f>
        <x:v>0</x:v>
      </x:c>
      <x:c r="K4" s="21" t="n">
        <x:f>IFERROR(G4-J4,"")</x:f>
        <x:v>0</x:v>
      </x:c>
      <x:c r="L4" s="22" t="str">
        <x:f>IFERROR(K4/J4,"")</x:f>
      </x:c>
      <x:c r="M4" s="8" t="str">
        <x:v>Reduce</x:v>
      </x:c>
      <x:c r="N4" s="8" t="str">
        <x:v>Q2 2026</x:v>
      </x:c>
      <x:c r="O4" s="8" t="str">
        <x:v>Reduce is based on the reported share-count change from the preceding 13-F. The filing does not disclose the investor's thesis or exact trade price.</x:v>
      </x:c>
    </x:row>
    <x:row r="5">
      <x:c r="A5" s="8" t="str">
        <x:v>AVGO</x:v>
      </x:c>
      <x:c r="B5" s="8" t="str">
        <x:v>Broadcom</x:v>
      </x:c>
      <x:c r="C5" s="8" t="str">
        <x:v>Broadcom operates in the Technology sector. Review company filings for a precise business description.</x:v>
      </x:c>
      <x:c r="D5" s="14" t="n">
        <x:v>1317923</x:v>
      </x:c>
      <x:c r="E5" s="18"/>
      <x:c r="F5" s="19" t="e">
        <x:f>GOOGLEFINANCE("AVGO","price")</x:f>
        <x:v>#NAME?</x:v>
      </x:c>
      <x:c r="G5" s="19" t="str">
        <x:f>IFERROR(D5*F5,"")</x:f>
      </x:c>
      <x:c r="H5" s="20" t="e">
        <x:f>GOOGLEFINANCE("AVGO","pe")</x:f>
        <x:v>#NAME?</x:v>
      </x:c>
      <x:c r="I5" s="13" t="n">
        <x:v>0.0204</x:v>
      </x:c>
      <x:c r="J5" s="21" t="n">
        <x:f>IFERROR(D5*E5,"")</x:f>
        <x:v>0</x:v>
      </x:c>
      <x:c r="K5" s="21" t="n">
        <x:f>IFERROR(G5-J5,"")</x:f>
        <x:v>0</x:v>
      </x:c>
      <x:c r="L5" s="22" t="str">
        <x:f>IFERROR(K5/J5,"")</x:f>
      </x:c>
      <x:c r="M5" s="8" t="str">
        <x:v>Reduce</x:v>
      </x:c>
      <x:c r="N5" s="8" t="str">
        <x:v>Q2 2026</x:v>
      </x:c>
      <x:c r="O5" s="8" t="str">
        <x:v>Reduce is based on the reported share-count change from the preceding 13-F. The filing does not disclose the investor's thesis or exact trade price.</x:v>
      </x:c>
    </x:row>
    <x:row r="6">
      <x:c r="A6" s="8" t="str">
        <x:v>AMZN</x:v>
      </x:c>
      <x:c r="B6" s="8" t="str">
        <x:v>Amazon</x:v>
      </x:c>
      <x:c r="C6" s="8" t="str">
        <x:v>Amazon operates e-commerce, logistics, advertising, subscriptions, and AWS cloud infrastructure.</x:v>
      </x:c>
      <x:c r="D6" s="14" t="n">
        <x:v>2025481</x:v>
      </x:c>
      <x:c r="E6" s="18"/>
      <x:c r="F6" s="19" t="e">
        <x:f>GOOGLEFINANCE("AMZN","price")</x:f>
        <x:v>#NAME?</x:v>
      </x:c>
      <x:c r="G6" s="19" t="str">
        <x:f>IFERROR(D6*F6,"")</x:f>
      </x:c>
      <x:c r="H6" s="20" t="e">
        <x:f>GOOGLEFINANCE("AMZN","pe")</x:f>
        <x:v>#NAME?</x:v>
      </x:c>
      <x:c r="I6" s="13" t="n">
        <x:v>0.019799999999999998</x:v>
      </x:c>
      <x:c r="J6" s="21" t="n">
        <x:f>IFERROR(D6*E6,"")</x:f>
        <x:v>0</x:v>
      </x:c>
      <x:c r="K6" s="21" t="n">
        <x:f>IFERROR(G6-J6,"")</x:f>
        <x:v>0</x:v>
      </x:c>
      <x:c r="L6" s="22" t="str">
        <x:f>IFERROR(K6/J6,"")</x:f>
      </x:c>
      <x:c r="M6" s="8" t="str">
        <x:v>Reduce</x:v>
      </x:c>
      <x:c r="N6" s="8" t="str">
        <x:v>Q2 2026</x:v>
      </x:c>
      <x:c r="O6" s="8" t="str">
        <x:v>Reduce is based on the reported share-count change from the preceding 13-F. The filing does not disclose the investor's thesis or exact trade price.</x:v>
      </x:c>
    </x:row>
    <x:row r="7">
      <x:c r="A7" s="8" t="str">
        <x:v>GOOGL</x:v>
      </x:c>
      <x:c r="B7" s="8" t="str">
        <x:v>Alphabet Class A</x:v>
      </x:c>
      <x:c r="C7" s="8" t="str">
        <x:v>Alphabet Class A represents Alphabet, parent of Google Search, YouTube, Google Cloud, Android, and AI assets.</x:v>
      </x:c>
      <x:c r="D7" s="14" t="n">
        <x:v>1322176</x:v>
      </x:c>
      <x:c r="E7" s="18"/>
      <x:c r="F7" s="19" t="e">
        <x:f>GOOGLEFINANCE("GOOGL","price")</x:f>
        <x:v>#NAME?</x:v>
      </x:c>
      <x:c r="G7" s="19" t="str">
        <x:f>IFERROR(D7*F7,"")</x:f>
      </x:c>
      <x:c r="H7" s="20" t="e">
        <x:f>GOOGLEFINANCE("GOOGL","pe")</x:f>
        <x:v>#NAME?</x:v>
      </x:c>
      <x:c r="I7" s="13" t="n">
        <x:v>0.0194</x:v>
      </x:c>
      <x:c r="J7" s="21" t="n">
        <x:f>IFERROR(D7*E7,"")</x:f>
        <x:v>0</x:v>
      </x:c>
      <x:c r="K7" s="21" t="n">
        <x:f>IFERROR(G7-J7,"")</x:f>
        <x:v>0</x:v>
      </x:c>
      <x:c r="L7" s="22" t="str">
        <x:f>IFERROR(K7/J7,"")</x:f>
      </x:c>
      <x:c r="M7" s="8" t="str">
        <x:v>Reduce</x:v>
      </x:c>
      <x:c r="N7" s="8" t="str">
        <x:v>Q2 2026</x:v>
      </x:c>
      <x:c r="O7" s="8" t="str">
        <x:v>Reduce is based on the reported share-count change from the preceding 13-F. The filing does not disclose the investor's thesis or exact trade price.</x:v>
      </x:c>
    </x:row>
    <x:row r="8">
      <x:c r="A8" s="8" t="str">
        <x:v>LRCX</x:v>
      </x:c>
      <x:c r="B8" s="8" t="str">
        <x:v>Lam Research</x:v>
      </x:c>
      <x:c r="C8" s="8" t="str">
        <x:v>Lam Research operates in the Technology sector. Review company filings for a precise business description.</x:v>
      </x:c>
      <x:c r="D8" s="14" t="n">
        <x:v>938224</x:v>
      </x:c>
      <x:c r="E8" s="18"/>
      <x:c r="F8" s="19" t="e">
        <x:f>GOOGLEFINANCE("LRCX","price")</x:f>
        <x:v>#NAME?</x:v>
      </x:c>
      <x:c r="G8" s="19" t="str">
        <x:f>IFERROR(D8*F8,"")</x:f>
      </x:c>
      <x:c r="H8" s="20" t="e">
        <x:f>GOOGLEFINANCE("LRCX","pe")</x:f>
        <x:v>#NAME?</x:v>
      </x:c>
      <x:c r="I8" s="13" t="n">
        <x:v>0.0167</x:v>
      </x:c>
      <x:c r="J8" s="21" t="n">
        <x:f>IFERROR(D8*E8,"")</x:f>
        <x:v>0</x:v>
      </x:c>
      <x:c r="K8" s="21" t="n">
        <x:f>IFERROR(G8-J8,"")</x:f>
        <x:v>0</x:v>
      </x:c>
      <x:c r="L8" s="22" t="str">
        <x:f>IFERROR(K8/J8,"")</x:f>
      </x:c>
      <x:c r="M8" s="8" t="str">
        <x:v>Reduce</x:v>
      </x:c>
      <x:c r="N8" s="8" t="str">
        <x:v>Q2 2026</x:v>
      </x:c>
      <x:c r="O8" s="8" t="str">
        <x:v>Reduce is based on the reported share-count change from the preceding 13-F. The filing does not disclose the investor's thesis or exact trade price.</x:v>
      </x:c>
    </x:row>
    <x:row r="9">
      <x:c r="A9" s="8" t="str">
        <x:v>VOO</x:v>
      </x:c>
      <x:c r="B9" s="8" t="str">
        <x:v>Vanguard S&amp;P 500 ETF</x:v>
      </x:c>
      <x:c r="C9" s="8" t="str">
        <x:v>Vanguard S&amp;P 500 ETF operates in the ETF sector. Review company filings for a precise business description.</x:v>
      </x:c>
      <x:c r="D9" s="14" t="n">
        <x:v>458381</x:v>
      </x:c>
      <x:c r="E9" s="18"/>
      <x:c r="F9" s="19" t="e">
        <x:f>GOOGLEFINANCE("VOO","price")</x:f>
        <x:v>#NAME?</x:v>
      </x:c>
      <x:c r="G9" s="19" t="str">
        <x:f>IFERROR(D9*F9,"")</x:f>
      </x:c>
      <x:c r="H9" s="20" t="e">
        <x:f>GOOGLEFINANCE("VOO","pe")</x:f>
        <x:v>#NAME?</x:v>
      </x:c>
      <x:c r="I9" s="13" t="n">
        <x:v>0.0129</x:v>
      </x:c>
      <x:c r="J9" s="21" t="n">
        <x:f>IFERROR(D9*E9,"")</x:f>
        <x:v>0</x:v>
      </x:c>
      <x:c r="K9" s="21" t="n">
        <x:f>IFERROR(G9-J9,"")</x:f>
        <x:v>0</x:v>
      </x:c>
      <x:c r="L9" s="22" t="str">
        <x:f>IFERROR(K9/J9,"")</x:f>
      </x:c>
      <x:c r="M9" s="8" t="str">
        <x:v>Add</x:v>
      </x:c>
      <x:c r="N9" s="8" t="str">
        <x:v>Q2 2026</x:v>
      </x:c>
      <x:c r="O9" s="8" t="str">
        <x:v>Add is based on the reported share-count change from the preceding 13-F. The filing does not disclose the investor's thesis or exact trade price.</x:v>
      </x:c>
    </x:row>
    <x:row r="10">
      <x:c r="A10" s="8" t="str">
        <x:v>AMD</x:v>
      </x:c>
      <x:c r="B10" s="8" t="str">
        <x:v>Advanced Micro Devices</x:v>
      </x:c>
      <x:c r="C10" s="8" t="str">
        <x:v>Advanced Micro Devices operates in the Technology sector. Review company filings for a precise business description.</x:v>
      </x:c>
      <x:c r="D10" s="14" t="n">
        <x:v>538632</x:v>
      </x:c>
      <x:c r="E10" s="18"/>
      <x:c r="F10" s="19" t="e">
        <x:f>GOOGLEFINANCE("AMD","price")</x:f>
        <x:v>#NAME?</x:v>
      </x:c>
      <x:c r="G10" s="19" t="str">
        <x:f>IFERROR(D10*F10,"")</x:f>
      </x:c>
      <x:c r="H10" s="20" t="e">
        <x:f>GOOGLEFINANCE("AMD","pe")</x:f>
        <x:v>#NAME?</x:v>
      </x:c>
      <x:c r="I10" s="13" t="n">
        <x:v>0.0128</x:v>
      </x:c>
      <x:c r="J10" s="21" t="n">
        <x:f>IFERROR(D10*E10,"")</x:f>
        <x:v>0</x:v>
      </x:c>
      <x:c r="K10" s="21" t="n">
        <x:f>IFERROR(G10-J10,"")</x:f>
        <x:v>0</x:v>
      </x:c>
      <x:c r="L10" s="22" t="str">
        <x:f>IFERROR(K10/J10,"")</x:f>
      </x:c>
      <x:c r="M10" s="8" t="str">
        <x:v>Reduce</x:v>
      </x:c>
      <x:c r="N10" s="8" t="str">
        <x:v>Q2 2026</x:v>
      </x:c>
      <x:c r="O10" s="8" t="str">
        <x:v>Reduce is based on the reported share-count change from the preceding 13-F. The filing does not disclose the investor's thesis or exact trade price.</x:v>
      </x:c>
    </x:row>
    <x:row r="11">
      <x:c r="A11" s="8" t="str">
        <x:v>EWY</x:v>
      </x:c>
      <x:c r="B11" s="8" t="str">
        <x:v>iShares MSCI South Korea ETF</x:v>
      </x:c>
      <x:c r="C11" s="8" t="str">
        <x:v>iShares MSCI South Korea ETF operates in the ETF sector. Review company filings for a precise business description.</x:v>
      </x:c>
      <x:c r="D11" s="14" t="n">
        <x:v>1384772</x:v>
      </x:c>
      <x:c r="E11" s="18"/>
      <x:c r="F11" s="19" t="e">
        <x:f>GOOGLEFINANCE("EWY","price")</x:f>
        <x:v>#NAME?</x:v>
      </x:c>
      <x:c r="G11" s="19" t="str">
        <x:f>IFERROR(D11*F11,"")</x:f>
      </x:c>
      <x:c r="H11" s="20" t="e">
        <x:f>GOOGLEFINANCE("EWY","pe")</x:f>
        <x:v>#NAME?</x:v>
      </x:c>
      <x:c r="I11" s="13" t="n">
        <x:v>0.0115</x:v>
      </x:c>
      <x:c r="J11" s="21" t="n">
        <x:f>IFERROR(D11*E11,"")</x:f>
        <x:v>0</x:v>
      </x:c>
      <x:c r="K11" s="21" t="n">
        <x:f>IFERROR(G11-J11,"")</x:f>
        <x:v>0</x:v>
      </x:c>
      <x:c r="L11" s="22" t="str">
        <x:f>IFERROR(K11/J11,"")</x:f>
      </x:c>
      <x:c r="M11" s="8" t="str">
        <x:v>Reduce</x:v>
      </x:c>
      <x:c r="N11" s="8" t="str">
        <x:v>Q2 2026</x:v>
      </x:c>
      <x:c r="O11" s="8" t="str">
        <x:v>Reduce is based on the reported share-count change from the preceding 13-F. The filing does not disclose the investor's thesis or exact trade price.</x:v>
      </x:c>
    </x:row>
  </x:sheetData>
  <x:pageMargins left="0.7" right="0.7" top="0.75" bottom="0.75" header="0.3" footer="0.3"/>
</x:worksheet>
</file>